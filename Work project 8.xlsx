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udom-my.sharepoint.com/personal/omk155_student_bau_edu_lb/Documents/Rea/"/>
    </mc:Choice>
  </mc:AlternateContent>
  <xr:revisionPtr revIDLastSave="8" documentId="8_{EDD95B9D-37F1-4514-A1F3-46844B64B284}" xr6:coauthVersionLast="47" xr6:coauthVersionMax="47" xr10:uidLastSave="{B59EA75C-32F5-4CA7-BB49-AD3885C4922D}"/>
  <bookViews>
    <workbookView xWindow="-108" yWindow="-108" windowWidth="23256" windowHeight="12456" xr2:uid="{699B9D77-F7A0-4CDB-A94B-4E37D3D4AA70}"/>
  </bookViews>
  <sheets>
    <sheet name="Campaign Data" sheetId="1" r:id="rId1"/>
    <sheet name="Campaign_pivottable1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2" i="1" l="1"/>
  <c r="U2" i="1" l="1"/>
  <c r="O2" i="1"/>
  <c r="R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N2" i="1"/>
  <c r="T2" i="1" s="1"/>
  <c r="N3" i="1"/>
  <c r="S3" i="1" s="1"/>
  <c r="N4" i="1"/>
  <c r="S4" i="1" s="1"/>
  <c r="O5" i="1"/>
  <c r="N6" i="1"/>
  <c r="S6" i="1" s="1"/>
  <c r="N7" i="1"/>
  <c r="S7" i="1" s="1"/>
  <c r="N8" i="1"/>
  <c r="S8" i="1" s="1"/>
  <c r="N9" i="1"/>
  <c r="S9" i="1" s="1"/>
  <c r="N10" i="1"/>
  <c r="S10" i="1" s="1"/>
  <c r="N11" i="1"/>
  <c r="S11" i="1" s="1"/>
  <c r="N12" i="1"/>
  <c r="S12" i="1" s="1"/>
  <c r="N13" i="1"/>
  <c r="S13" i="1" s="1"/>
  <c r="N14" i="1"/>
  <c r="S14" i="1" s="1"/>
  <c r="N15" i="1"/>
  <c r="S15" i="1" s="1"/>
  <c r="N16" i="1"/>
  <c r="S16" i="1" s="1"/>
  <c r="N17" i="1"/>
  <c r="S17" i="1" s="1"/>
  <c r="N18" i="1"/>
  <c r="S18" i="1" s="1"/>
  <c r="N19" i="1"/>
  <c r="S19" i="1" s="1"/>
  <c r="N20" i="1"/>
  <c r="S20" i="1" s="1"/>
  <c r="N21" i="1"/>
  <c r="S21" i="1" s="1"/>
  <c r="N22" i="1"/>
  <c r="S22" i="1" s="1"/>
  <c r="N23" i="1"/>
  <c r="S23" i="1" s="1"/>
  <c r="N24" i="1"/>
  <c r="S24" i="1" s="1"/>
  <c r="N25" i="1"/>
  <c r="S25" i="1" s="1"/>
  <c r="N26" i="1"/>
  <c r="S26" i="1" s="1"/>
  <c r="N27" i="1"/>
  <c r="S27" i="1" s="1"/>
  <c r="N28" i="1"/>
  <c r="S28" i="1" s="1"/>
  <c r="N29" i="1"/>
  <c r="S29" i="1" s="1"/>
  <c r="N30" i="1"/>
  <c r="S30" i="1" s="1"/>
  <c r="N31" i="1"/>
  <c r="S31" i="1" s="1"/>
  <c r="N32" i="1"/>
  <c r="S32" i="1" s="1"/>
  <c r="N33" i="1"/>
  <c r="S33" i="1" s="1"/>
  <c r="N34" i="1"/>
  <c r="S34" i="1" s="1"/>
  <c r="N35" i="1"/>
  <c r="S35" i="1" s="1"/>
  <c r="N36" i="1"/>
  <c r="S36" i="1" s="1"/>
  <c r="N37" i="1"/>
  <c r="S37" i="1" s="1"/>
  <c r="N38" i="1"/>
  <c r="S38" i="1" s="1"/>
  <c r="N39" i="1"/>
  <c r="S39" i="1" s="1"/>
  <c r="N40" i="1"/>
  <c r="S40" i="1" s="1"/>
  <c r="N41" i="1"/>
  <c r="S41" i="1" s="1"/>
  <c r="N42" i="1"/>
  <c r="S42" i="1" s="1"/>
  <c r="N43" i="1"/>
  <c r="S43" i="1" s="1"/>
  <c r="N44" i="1"/>
  <c r="S44" i="1" s="1"/>
  <c r="N45" i="1"/>
  <c r="S45" i="1" s="1"/>
  <c r="N46" i="1"/>
  <c r="S46" i="1" s="1"/>
  <c r="N47" i="1"/>
  <c r="S47" i="1" s="1"/>
  <c r="N48" i="1"/>
  <c r="S48" i="1" s="1"/>
  <c r="N49" i="1"/>
  <c r="S49" i="1" s="1"/>
  <c r="N50" i="1"/>
  <c r="S50" i="1" s="1"/>
  <c r="N51" i="1"/>
  <c r="S51" i="1" s="1"/>
  <c r="N52" i="1"/>
  <c r="S52" i="1" s="1"/>
  <c r="N53" i="1"/>
  <c r="S53" i="1" s="1"/>
  <c r="N54" i="1"/>
  <c r="S54" i="1" s="1"/>
  <c r="N55" i="1"/>
  <c r="S55" i="1" s="1"/>
  <c r="N56" i="1"/>
  <c r="S56" i="1" s="1"/>
  <c r="N57" i="1"/>
  <c r="S57" i="1" s="1"/>
  <c r="N58" i="1"/>
  <c r="S58" i="1" s="1"/>
  <c r="N59" i="1"/>
  <c r="S59" i="1" s="1"/>
  <c r="N60" i="1"/>
  <c r="S60" i="1" s="1"/>
  <c r="N61" i="1"/>
  <c r="S61" i="1" s="1"/>
  <c r="N62" i="1"/>
  <c r="S62" i="1" s="1"/>
  <c r="N63" i="1"/>
  <c r="S63" i="1" s="1"/>
  <c r="N64" i="1"/>
  <c r="S64" i="1" s="1"/>
  <c r="N65" i="1"/>
  <c r="S65" i="1" s="1"/>
  <c r="N66" i="1"/>
  <c r="S66" i="1" s="1"/>
  <c r="N67" i="1"/>
  <c r="S67" i="1" s="1"/>
  <c r="N68" i="1"/>
  <c r="S68" i="1" s="1"/>
  <c r="N69" i="1"/>
  <c r="S69" i="1" s="1"/>
  <c r="N70" i="1"/>
  <c r="S70" i="1" s="1"/>
  <c r="N71" i="1"/>
  <c r="S71" i="1" s="1"/>
  <c r="N72" i="1"/>
  <c r="S72" i="1" s="1"/>
  <c r="N73" i="1"/>
  <c r="S73" i="1" s="1"/>
  <c r="N74" i="1"/>
  <c r="S74" i="1" s="1"/>
  <c r="N75" i="1"/>
  <c r="S75" i="1" s="1"/>
  <c r="N76" i="1"/>
  <c r="S76" i="1" s="1"/>
  <c r="N77" i="1"/>
  <c r="S77" i="1" s="1"/>
  <c r="N78" i="1"/>
  <c r="S78" i="1" s="1"/>
  <c r="N79" i="1"/>
  <c r="S79" i="1" s="1"/>
  <c r="N80" i="1"/>
  <c r="S80" i="1" s="1"/>
  <c r="N81" i="1"/>
  <c r="S81" i="1" s="1"/>
  <c r="N82" i="1"/>
  <c r="S82" i="1" s="1"/>
  <c r="N83" i="1"/>
  <c r="S83" i="1" s="1"/>
  <c r="N84" i="1"/>
  <c r="S84" i="1" s="1"/>
  <c r="N85" i="1"/>
  <c r="S85" i="1" s="1"/>
  <c r="N86" i="1"/>
  <c r="S86" i="1" s="1"/>
  <c r="N87" i="1"/>
  <c r="S87" i="1" s="1"/>
  <c r="N88" i="1"/>
  <c r="S88" i="1" s="1"/>
  <c r="N89" i="1"/>
  <c r="S89" i="1" s="1"/>
  <c r="N90" i="1"/>
  <c r="S90" i="1" s="1"/>
  <c r="N91" i="1"/>
  <c r="S91" i="1" s="1"/>
  <c r="N92" i="1"/>
  <c r="S92" i="1" s="1"/>
  <c r="N93" i="1"/>
  <c r="S93" i="1" s="1"/>
  <c r="N94" i="1"/>
  <c r="S94" i="1" s="1"/>
  <c r="N95" i="1"/>
  <c r="S95" i="1" s="1"/>
  <c r="N96" i="1"/>
  <c r="S96" i="1" s="1"/>
  <c r="N97" i="1"/>
  <c r="S97" i="1" s="1"/>
  <c r="N98" i="1"/>
  <c r="S98" i="1" s="1"/>
  <c r="N99" i="1"/>
  <c r="S99" i="1" s="1"/>
  <c r="N100" i="1"/>
  <c r="S100" i="1" s="1"/>
  <c r="O3" i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N5" i="1"/>
  <c r="S5" i="1" s="1"/>
  <c r="S2" i="1" l="1"/>
  <c r="T96" i="1"/>
  <c r="T85" i="1"/>
  <c r="T60" i="1"/>
  <c r="T49" i="1"/>
  <c r="T48" i="1"/>
  <c r="T24" i="1"/>
  <c r="T13" i="1"/>
  <c r="T37" i="1"/>
  <c r="T36" i="1"/>
  <c r="T97" i="1"/>
  <c r="T25" i="1"/>
  <c r="T84" i="1"/>
  <c r="T12" i="1"/>
  <c r="T73" i="1"/>
  <c r="T72" i="1"/>
  <c r="T61" i="1"/>
  <c r="T95" i="1"/>
  <c r="T83" i="1"/>
  <c r="T71" i="1"/>
  <c r="T59" i="1"/>
  <c r="T47" i="1"/>
  <c r="T35" i="1"/>
  <c r="T23" i="1"/>
  <c r="T11" i="1"/>
  <c r="T94" i="1"/>
  <c r="T82" i="1"/>
  <c r="T70" i="1"/>
  <c r="T58" i="1"/>
  <c r="T46" i="1"/>
  <c r="T34" i="1"/>
  <c r="T22" i="1"/>
  <c r="T10" i="1"/>
  <c r="T93" i="1"/>
  <c r="T81" i="1"/>
  <c r="T69" i="1"/>
  <c r="T57" i="1"/>
  <c r="T45" i="1"/>
  <c r="T33" i="1"/>
  <c r="T21" i="1"/>
  <c r="T9" i="1"/>
  <c r="T92" i="1"/>
  <c r="T80" i="1"/>
  <c r="T68" i="1"/>
  <c r="T56" i="1"/>
  <c r="T44" i="1"/>
  <c r="T32" i="1"/>
  <c r="T20" i="1"/>
  <c r="T8" i="1"/>
  <c r="T91" i="1"/>
  <c r="T79" i="1"/>
  <c r="T67" i="1"/>
  <c r="T55" i="1"/>
  <c r="T43" i="1"/>
  <c r="T31" i="1"/>
  <c r="T19" i="1"/>
  <c r="T7" i="1"/>
  <c r="T90" i="1"/>
  <c r="T78" i="1"/>
  <c r="T66" i="1"/>
  <c r="T54" i="1"/>
  <c r="T42" i="1"/>
  <c r="T30" i="1"/>
  <c r="T18" i="1"/>
  <c r="T6" i="1"/>
  <c r="T89" i="1"/>
  <c r="T77" i="1"/>
  <c r="T65" i="1"/>
  <c r="T53" i="1"/>
  <c r="T41" i="1"/>
  <c r="T29" i="1"/>
  <c r="T17" i="1"/>
  <c r="T5" i="1"/>
  <c r="T100" i="1"/>
  <c r="T88" i="1"/>
  <c r="T76" i="1"/>
  <c r="T64" i="1"/>
  <c r="T52" i="1"/>
  <c r="T40" i="1"/>
  <c r="T28" i="1"/>
  <c r="T16" i="1"/>
  <c r="T4" i="1"/>
  <c r="T99" i="1"/>
  <c r="T87" i="1"/>
  <c r="T75" i="1"/>
  <c r="T63" i="1"/>
  <c r="T51" i="1"/>
  <c r="T39" i="1"/>
  <c r="T27" i="1"/>
  <c r="T15" i="1"/>
  <c r="T98" i="1"/>
  <c r="T86" i="1"/>
  <c r="T74" i="1"/>
  <c r="T62" i="1"/>
  <c r="T50" i="1"/>
  <c r="T38" i="1"/>
  <c r="T26" i="1"/>
  <c r="T14" i="1"/>
  <c r="T3" i="1"/>
</calcChain>
</file>

<file path=xl/sharedStrings.xml><?xml version="1.0" encoding="utf-8"?>
<sst xmlns="http://schemas.openxmlformats.org/spreadsheetml/2006/main" count="348" uniqueCount="156">
  <si>
    <t>Ad_ID</t>
  </si>
  <si>
    <t>Clicks</t>
  </si>
  <si>
    <t>Impressions</t>
  </si>
  <si>
    <t>Cost</t>
  </si>
  <si>
    <t>Leads</t>
  </si>
  <si>
    <t>Conversions</t>
  </si>
  <si>
    <t>Conversion Rate</t>
  </si>
  <si>
    <t>Sale_Amount</t>
  </si>
  <si>
    <t>Ad_Date</t>
  </si>
  <si>
    <t>Location</t>
  </si>
  <si>
    <t>Device</t>
  </si>
  <si>
    <t>A1000</t>
  </si>
  <si>
    <t>desktop</t>
  </si>
  <si>
    <t>A1001</t>
  </si>
  <si>
    <t>20-11-2024</t>
  </si>
  <si>
    <t>mobile</t>
  </si>
  <si>
    <t>A1002</t>
  </si>
  <si>
    <t>Desktop</t>
  </si>
  <si>
    <t>A1003</t>
  </si>
  <si>
    <t>tablet</t>
  </si>
  <si>
    <t>A1004</t>
  </si>
  <si>
    <t>A1005</t>
  </si>
  <si>
    <t>16-11-2024</t>
  </si>
  <si>
    <t>A1006</t>
  </si>
  <si>
    <t>A1007</t>
  </si>
  <si>
    <t>A1008</t>
  </si>
  <si>
    <t>Tablet</t>
  </si>
  <si>
    <t>A1009</t>
  </si>
  <si>
    <t>Mobile</t>
  </si>
  <si>
    <t>A1010</t>
  </si>
  <si>
    <t>14-11-2024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</si>
  <si>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</si>
  <si>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</si>
  <si>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</si>
  <si>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</si>
  <si>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</si>
  <si>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</si>
  <si>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</si>
  <si>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</si>
  <si>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</si>
  <si>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</si>
  <si>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</si>
  <si>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</si>
  <si>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</si>
  <si>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30-11-2024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</si>
  <si>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</si>
  <si>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</si>
  <si>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</si>
  <si>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</si>
  <si>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</si>
  <si>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</si>
  <si>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</si>
  <si>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</si>
  <si>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22-11-2024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</si>
  <si>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</si>
  <si>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</si>
  <si>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</si>
  <si>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</si>
  <si>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</si>
  <si>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</si>
  <si>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</si>
  <si>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</si>
  <si>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</si>
  <si>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</si>
  <si>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</si>
  <si>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</si>
  <si>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29-11-2024</t>
  </si>
  <si>
    <t>A1044</t>
  </si>
  <si>
    <t>A1045</t>
  </si>
  <si>
    <t>15-11-2024</t>
  </si>
  <si>
    <t>A1046</t>
  </si>
  <si>
    <t>A1047</t>
  </si>
  <si>
    <t>A1048</t>
  </si>
  <si>
    <t>A1049</t>
  </si>
  <si>
    <t>21-11-2024</t>
  </si>
  <si>
    <t>A1050</t>
  </si>
  <si>
    <t>A1051</t>
  </si>
  <si>
    <t>A1052</t>
  </si>
  <si>
    <t>A1053</t>
  </si>
  <si>
    <t>A1054</t>
  </si>
  <si>
    <t>26-11-2024</t>
  </si>
  <si>
    <t>A1055</t>
  </si>
  <si>
    <t>A1056</t>
  </si>
  <si>
    <t>A1057</t>
  </si>
  <si>
    <t>A1058</t>
  </si>
  <si>
    <t>18-11-2024</t>
  </si>
  <si>
    <t>A1059</t>
  </si>
  <si>
    <t>A1060</t>
  </si>
  <si>
    <t>A1061</t>
  </si>
  <si>
    <t>A1062</t>
  </si>
  <si>
    <t>A1063</t>
  </si>
  <si>
    <t>23-11-2024</t>
  </si>
  <si>
    <t>A1064</t>
  </si>
  <si>
    <t>A1065</t>
  </si>
  <si>
    <t>A1066</t>
  </si>
  <si>
    <t>27-11-2024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</si>
  <si>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</si>
  <si>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</si>
  <si>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</si>
  <si>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</si>
  <si>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</si>
  <si>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</si>
  <si>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</si>
  <si>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</si>
  <si>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</si>
  <si>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</si>
  <si>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</si>
  <si>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</si>
  <si>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</si>
  <si>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</si>
  <si>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</si>
  <si>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</si>
  <si>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17-11-2024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</si>
  <si>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</si>
  <si>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</si>
  <si>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</si>
  <si>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</si>
  <si>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</si>
  <si>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</si>
  <si>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</si>
  <si>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</si>
  <si>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</si>
  <si>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</si>
  <si>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</si>
  <si>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</si>
  <si>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</si>
  <si>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</si>
  <si>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</si>
  <si>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</si>
  <si>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ROAS</t>
  </si>
  <si>
    <t>CPC</t>
  </si>
  <si>
    <t>CPA</t>
  </si>
  <si>
    <t>CAC</t>
  </si>
  <si>
    <t>High ROAS</t>
  </si>
  <si>
    <t>High sales</t>
  </si>
  <si>
    <t>Good Campain</t>
  </si>
  <si>
    <t>Profit</t>
  </si>
  <si>
    <t>Row Labels</t>
  </si>
  <si>
    <t>Grand Total</t>
  </si>
  <si>
    <t>Sum of Cost</t>
  </si>
  <si>
    <t>Sum of Sale_Amount</t>
  </si>
  <si>
    <t>Average of ROAS</t>
  </si>
  <si>
    <t>Beyrouth</t>
  </si>
  <si>
    <t>Baghdad</t>
  </si>
  <si>
    <t>cairo</t>
  </si>
  <si>
    <t>Riyad</t>
  </si>
  <si>
    <t>paris</t>
  </si>
  <si>
    <t>London</t>
  </si>
  <si>
    <t>Rome</t>
  </si>
  <si>
    <t>tokyo</t>
  </si>
  <si>
    <t>beijin</t>
  </si>
  <si>
    <t>Canberra</t>
  </si>
  <si>
    <t>Cairo</t>
  </si>
  <si>
    <t>Search location</t>
  </si>
  <si>
    <t>Found Profit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</si>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</sst>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8" fontId="2" fillId="0" borderId="0" xfId="0" applyNumberFormat="1" applyFont="1"/>
    <xf numFmtId="6" fontId="2" fillId="0" borderId="0" xfId="0" applyNumberFormat="1" applyFont="1"/>
    <xf numFmtId="14" fontId="2" fillId="0" borderId="0" xfId="0" applyNumberFormat="1" applyFont="1"/>
    <xf numFmtId="44" fontId="2" fillId="0" borderId="0" xfId="1" applyFont="1"/>
    <xf numFmtId="164" fontId="2" fillId="0" borderId="0" xfId="2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2" fontId="0" fillId="0" borderId="0" xfId="0" applyNumberFormat="1"/>
    <xf numFmtId="165" fontId="2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29"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$&quot;#,##0_);[Red]\(&quot;$&quot;#,##0\)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$&quot;#,##0_);[Red]\(&quot;$&quot;#,##0\)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261000378317434E-2"/>
          <c:y val="0.16431722076407113"/>
          <c:w val="0.5721574357004573"/>
          <c:h val="0.75047317002041414"/>
        </c:manualLayout>
      </c:layout>
      <c:barChart>
        <c:barDir val="col"/>
        <c:grouping val="clustered"/>
        <c:varyColors val="0"/>
        <c:ser>
          <c:idx val="0"/>
          <c:order val="0"/>
          <c:tx>
            <c:v>paris - Sum of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2522.9799999999996</c:v>
              </c:pt>
            </c:numLit>
          </c:val>
          <c:extLst>
            <c:ext xmlns:c16="http://schemas.microsoft.com/office/drawing/2014/chart" uri="{C3380CC4-5D6E-409C-BE32-E72D297353CC}">
              <c16:uniqueId val="{00000022-16C9-4114-BD09-717697A20BAB}"/>
            </c:ext>
          </c:extLst>
        </c:ser>
        <c:ser>
          <c:idx val="1"/>
          <c:order val="1"/>
          <c:tx>
            <c:v>paris - Sum of Sale_Amount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19522</c:v>
              </c:pt>
            </c:numLit>
          </c:val>
          <c:extLst>
            <c:ext xmlns:c16="http://schemas.microsoft.com/office/drawing/2014/chart" uri="{C3380CC4-5D6E-409C-BE32-E72D297353CC}">
              <c16:uniqueId val="{00000023-16C9-4114-BD09-717697A20BAB}"/>
            </c:ext>
          </c:extLst>
        </c:ser>
        <c:ser>
          <c:idx val="2"/>
          <c:order val="2"/>
          <c:tx>
            <c:v>paris - Sum of Profit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16999.02</c:v>
              </c:pt>
            </c:numLit>
          </c:val>
          <c:extLst>
            <c:ext xmlns:c16="http://schemas.microsoft.com/office/drawing/2014/chart" uri="{C3380CC4-5D6E-409C-BE32-E72D297353CC}">
              <c16:uniqueId val="{00000024-16C9-4114-BD09-717697A20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421295"/>
        <c:axId val="45738383"/>
      </c:barChart>
      <c:catAx>
        <c:axId val="752421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8383"/>
        <c:crosses val="autoZero"/>
        <c:auto val="1"/>
        <c:lblAlgn val="ctr"/>
        <c:lblOffset val="100"/>
        <c:noMultiLvlLbl val="0"/>
      </c:catAx>
      <c:valAx>
        <c:axId val="4573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2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1175484</xdr:colOff>
      <xdr:row>2</xdr:row>
      <xdr:rowOff>20060</xdr:rowOff>
    </xdr:from>
    <xdr:to>
      <xdr:col>26</xdr:col>
      <xdr:colOff>20050</xdr:colOff>
      <xdr:row>17</xdr:row>
      <xdr:rowOff>56154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0550EA-9AB2-963C-972E-B46205D11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0.310218287035" createdVersion="8" refreshedVersion="8" minRefreshableVersion="3" recordCount="100" xr:uid="{8C043D2F-0626-4B35-9192-E6973E34F388}">
  <cacheSource type="worksheet">
    <worksheetSource name="Table1"/>
  </cacheSource>
  <cacheFields count="21">
    <cacheField name="Ad_ID" numFmtId="0">
      <sharedItems containsBlank="1"/>
    </cacheField>
    <cacheField name="Clicks" numFmtId="0">
      <sharedItems containsString="0" containsBlank="1" containsNumber="1" containsInteger="1" minValue="40" maxValue="197"/>
    </cacheField>
    <cacheField name="Impressions" numFmtId="0">
      <sharedItems containsString="0" containsBlank="1" containsNumber="1" containsInteger="1" minValue="3006" maxValue="5943"/>
    </cacheField>
    <cacheField name="Cost" numFmtId="0">
      <sharedItems containsString="0" containsBlank="1" containsNumber="1" minValue="120" maxValue="248.86"/>
    </cacheField>
    <cacheField name="Leads" numFmtId="0">
      <sharedItems containsString="0" containsBlank="1" containsNumber="1" containsInteger="1" minValue="10" maxValue="30"/>
    </cacheField>
    <cacheField name="Conversions" numFmtId="0">
      <sharedItems containsString="0" containsBlank="1" containsNumber="1" containsInteger="1" minValue="3" maxValue="10"/>
    </cacheField>
    <cacheField name="Conversion Rate" numFmtId="0">
      <sharedItems containsString="0" containsBlank="1" containsNumber="1" minValue="3.0000000000000001E-3" maxValue="0.43"/>
    </cacheField>
    <cacheField name="Sale_Amount" numFmtId="0">
      <sharedItems containsString="0" containsBlank="1" containsNumber="1" containsInteger="1" minValue="1026" maxValue="1994"/>
    </cacheField>
    <cacheField name="CAC" numFmtId="6">
      <sharedItems containsMixedTypes="1" containsNumber="1" minValue="18.765999999999998" maxValue="80.196666666666673"/>
    </cacheField>
    <cacheField name="Ad_Date" numFmtId="0">
      <sharedItems containsDate="1" containsBlank="1" containsMixedTypes="1" minDate="2024-01-11T00:00:00" maxDate="2024-12-12T00:00:00"/>
    </cacheField>
    <cacheField name="Location" numFmtId="0">
      <sharedItems containsBlank="1" count="4">
        <s v="hyderabad"/>
        <s v="Hyderbad"/>
        <s v="hydrebad"/>
        <m/>
      </sharedItems>
    </cacheField>
    <cacheField name="Device" numFmtId="0">
      <sharedItems containsBlank="1" count="4">
        <s v="desktop"/>
        <s v="mobile"/>
        <m/>
        <s v="tablet"/>
      </sharedItems>
    </cacheField>
    <cacheField name="ROAS" numFmtId="0">
      <sharedItems containsString="0" containsBlank="1" containsNumber="1" minValue="0" maxValue="13.766666666666667"/>
    </cacheField>
    <cacheField name="CPC" numFmtId="8">
      <sharedItems containsString="0" containsBlank="1" containsNumber="1" minValue="0.93975903614457834" maxValue="5.8722499999999993"/>
    </cacheField>
    <cacheField name="CPA" numFmtId="8">
      <sharedItems containsMixedTypes="1" containsNumber="1" minValue="18.765999999999998" maxValue="80.196666666666673"/>
    </cacheField>
    <cacheField name="Profit" numFmtId="8">
      <sharedItems containsSemiMixedTypes="0" containsString="0" containsNumber="1" minValue="-238.81" maxValue="1790"/>
    </cacheField>
    <cacheField name="High sales" numFmtId="0">
      <sharedItems/>
    </cacheField>
    <cacheField name="High ROAS" numFmtId="0">
      <sharedItems count="2">
        <s v="YES"/>
        <s v="NO"/>
      </sharedItems>
    </cacheField>
    <cacheField name="Good Campain" numFmtId="0">
      <sharedItems/>
    </cacheField>
    <cacheField name="Field1" numFmtId="0" formula="Sale_Amount/Cost" databaseField="0"/>
    <cacheField name="Field2" numFmtId="0" formula="Sale_Amount/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1000"/>
    <n v="104"/>
    <n v="4498"/>
    <n v="231.88"/>
    <n v="14"/>
    <n v="7"/>
    <n v="5.8000000000000003E-2"/>
    <n v="1892"/>
    <n v="33.125714285714288"/>
    <d v="2024-11-16T00:00:00"/>
    <x v="0"/>
    <x v="0"/>
    <n v="8.1593927893738147"/>
    <n v="2.2296153846153848"/>
    <n v="33.125714285714288"/>
    <n v="1660.12"/>
    <s v="YES"/>
    <x v="0"/>
    <b v="0"/>
  </r>
  <r>
    <s v="A1001"/>
    <n v="173"/>
    <n v="5107"/>
    <n v="216.84"/>
    <n v="10"/>
    <n v="8"/>
    <n v="4.5999999999999999E-2"/>
    <n v="1679"/>
    <n v="27.105"/>
    <s v="20-11-2024"/>
    <x v="0"/>
    <x v="1"/>
    <n v="7.7430363401586426"/>
    <n v="1.2534104046242776"/>
    <n v="27.105"/>
    <n v="1462.16"/>
    <s v="NO"/>
    <x v="0"/>
    <b v="0"/>
  </r>
  <r>
    <s v="A1002"/>
    <n v="90"/>
    <n v="4544"/>
    <n v="203.66"/>
    <n v="26"/>
    <n v="9"/>
    <n v="2.3E-2"/>
    <n v="1624"/>
    <n v="22.628888888888888"/>
    <d v="2024-11-16T00:00:00"/>
    <x v="0"/>
    <x v="2"/>
    <n v="7.9740744377884711"/>
    <n v="2.2628888888888889"/>
    <n v="22.628888888888888"/>
    <n v="1420.34"/>
    <s v="NO"/>
    <x v="0"/>
    <b v="1"/>
  </r>
  <r>
    <s v="A1003"/>
    <n v="142"/>
    <n v="3185"/>
    <n v="237.66"/>
    <n v="17"/>
    <n v="6"/>
    <n v="3.4000000000000002E-2"/>
    <n v="1225"/>
    <n v="39.61"/>
    <d v="2024-11-26T00:00:00"/>
    <x v="0"/>
    <x v="3"/>
    <n v="5.1544222839350331"/>
    <n v="1.673661971830986"/>
    <n v="39.61"/>
    <n v="987.34"/>
    <s v="NO"/>
    <x v="1"/>
    <b v="0"/>
  </r>
  <r>
    <s v="A1004"/>
    <n v="156"/>
    <n v="3361"/>
    <n v="195.9"/>
    <n v="30"/>
    <n v="8"/>
    <n v="3.0000000000000001E-3"/>
    <n v="1091"/>
    <n v="24.487500000000001"/>
    <d v="2024-11-22T00:00:00"/>
    <x v="0"/>
    <x v="0"/>
    <n v="5.5691679428279732"/>
    <n v="1.2557692307692307"/>
    <n v="24.487500000000001"/>
    <n v="895.1"/>
    <s v="NO"/>
    <x v="1"/>
    <b v="0"/>
  </r>
  <r>
    <s v="A1005"/>
    <n v="195"/>
    <n v="3776"/>
    <n v="243.57"/>
    <n v="10"/>
    <n v="8"/>
    <n v="0.02"/>
    <n v="1315"/>
    <n v="30.446249999999999"/>
    <s v="16-11-2024"/>
    <x v="0"/>
    <x v="1"/>
    <n v="5.3988586443322246"/>
    <n v="1.249076923076923"/>
    <n v="30.446249999999999"/>
    <n v="1071.43"/>
    <s v="NO"/>
    <x v="1"/>
    <b v="0"/>
  </r>
  <r>
    <s v="A1006"/>
    <n v="116"/>
    <n v="4480"/>
    <n v="237.79"/>
    <n v="17"/>
    <n v="5"/>
    <n v="4.2999999999999997E-2"/>
    <n v="1640"/>
    <n v="47.558"/>
    <d v="2024-06-11T00:00:00"/>
    <x v="0"/>
    <x v="3"/>
    <n v="6.896841751124942"/>
    <n v="2.0499137931034483"/>
    <n v="47.558"/>
    <n v="1402.21"/>
    <s v="NO"/>
    <x v="1"/>
    <b v="0"/>
  </r>
  <r>
    <s v="A1007"/>
    <n v="184"/>
    <n v="5060"/>
    <n v="229.61"/>
    <n v="23"/>
    <n v="3"/>
    <n v="1.6E-2"/>
    <n v="1509"/>
    <n v="76.536666666666676"/>
    <d v="2024-11-24T00:00:00"/>
    <x v="1"/>
    <x v="3"/>
    <n v="6.57201341404991"/>
    <n v="1.2478804347826087"/>
    <n v="76.536666666666676"/>
    <n v="1279.3899999999999"/>
    <s v="NO"/>
    <x v="1"/>
    <b v="0"/>
  </r>
  <r>
    <s v="A1008"/>
    <n v="113"/>
    <n v="5434"/>
    <n v="230"/>
    <n v="27"/>
    <n v="4"/>
    <n v="5.8000000000000003E-2"/>
    <n v="1362"/>
    <n v="57.5"/>
    <d v="2024-11-24T00:00:00"/>
    <x v="1"/>
    <x v="3"/>
    <n v="5.9217391304347826"/>
    <n v="2.0353982300884956"/>
    <n v="57.5"/>
    <n v="1132"/>
    <s v="NO"/>
    <x v="1"/>
    <b v="0"/>
  </r>
  <r>
    <s v="A1009"/>
    <n v="166"/>
    <n v="3355"/>
    <n v="186.78"/>
    <n v="24"/>
    <n v="9"/>
    <n v="5.3999999999999999E-2"/>
    <n v="1029"/>
    <n v="20.753333333333334"/>
    <d v="2024-11-12T00:00:00"/>
    <x v="1"/>
    <x v="1"/>
    <n v="5.5091551557982656"/>
    <n v="1.1251807228915662"/>
    <n v="20.753333333333334"/>
    <n v="842.22"/>
    <s v="NO"/>
    <x v="1"/>
    <b v="0"/>
  </r>
  <r>
    <s v="A1010"/>
    <n v="101"/>
    <n v="5399"/>
    <n v="236.79"/>
    <n v="20"/>
    <n v="6"/>
    <n v="5.8999999999999997E-2"/>
    <n v="1900"/>
    <n v="39.464999999999996"/>
    <s v="14-11-2024"/>
    <x v="0"/>
    <x v="0"/>
    <n v="8.0239874994721063"/>
    <n v="2.3444554455445545"/>
    <n v="39.464999999999996"/>
    <n v="1663.21"/>
    <s v="YES"/>
    <x v="0"/>
    <b v="0"/>
  </r>
  <r>
    <s v="A1011"/>
    <n v="101"/>
    <n v="3613"/>
    <n v="208.12"/>
    <n v="24"/>
    <n v="5"/>
    <n v="0.05"/>
    <n v="1130"/>
    <n v="41.624000000000002"/>
    <d v="2024-11-22T00:00:00"/>
    <x v="0"/>
    <x v="0"/>
    <n v="5.4295598693061695"/>
    <n v="2.0605940594059406"/>
    <n v="41.624000000000002"/>
    <n v="921.88"/>
    <s v="NO"/>
    <x v="1"/>
    <b v="0"/>
  </r>
  <r>
    <s v="A1012"/>
    <n v="125"/>
    <n v="3259"/>
    <n v="191.3"/>
    <n v="18"/>
    <n v="3"/>
    <n v="2.4E-2"/>
    <n v="1959"/>
    <n v="63.766666666666673"/>
    <d v="2024-11-27T00:00:00"/>
    <x v="2"/>
    <x v="0"/>
    <n v="10.240460010454782"/>
    <n v="1.5304"/>
    <n v="63.766666666666673"/>
    <n v="1767.7"/>
    <s v="YES"/>
    <x v="0"/>
    <b v="0"/>
  </r>
  <r>
    <s v="A1013"/>
    <n v="196"/>
    <n v="3742"/>
    <n v="207.46"/>
    <n v="10"/>
    <n v="7"/>
    <n v="3.7999999999999999E-2"/>
    <n v="1623"/>
    <n v="29.637142857142859"/>
    <d v="2024-12-11T00:00:00"/>
    <x v="0"/>
    <x v="1"/>
    <n v="7.8231948327388405"/>
    <n v="1.0584693877551021"/>
    <n v="29.637142857142859"/>
    <n v="1415.54"/>
    <s v="NO"/>
    <x v="0"/>
    <b v="1"/>
  </r>
  <r>
    <s v="A1014"/>
    <n v="181"/>
    <n v="4311"/>
    <n v="185.09"/>
    <n v="11"/>
    <n v="9"/>
    <n v="0.05"/>
    <n v="1538"/>
    <n v="20.565555555555555"/>
    <d v="2024-11-04T00:00:00"/>
    <x v="1"/>
    <x v="0"/>
    <n v="8.3094710681290174"/>
    <n v="1.0225966850828729"/>
    <n v="20.565555555555555"/>
    <n v="1352.91"/>
    <s v="NO"/>
    <x v="0"/>
    <b v="1"/>
  </r>
  <r>
    <s v="A1015"/>
    <n v="102"/>
    <n v="5461"/>
    <n v="201.69"/>
    <n v="22"/>
    <n v="8"/>
    <n v="7.8E-2"/>
    <n v="1755"/>
    <n v="25.21125"/>
    <d v="2024-11-29T00:00:00"/>
    <x v="0"/>
    <x v="0"/>
    <n v="8.7014725568942435"/>
    <n v="1.9773529411764705"/>
    <n v="25.21125"/>
    <n v="1553.31"/>
    <s v="NO"/>
    <x v="0"/>
    <b v="0"/>
  </r>
  <r>
    <s v="A1016"/>
    <n v="193"/>
    <n v="5159"/>
    <n v="190"/>
    <n v="15"/>
    <n v="9"/>
    <n v="4.7E-2"/>
    <n v="1614"/>
    <n v="21.111111111111111"/>
    <d v="2024-11-10T00:00:00"/>
    <x v="2"/>
    <x v="1"/>
    <n v="8.4947368421052634"/>
    <n v="0.98445595854922274"/>
    <n v="21.111111111111111"/>
    <n v="1424"/>
    <s v="NO"/>
    <x v="0"/>
    <b v="1"/>
  </r>
  <r>
    <s v="A1017"/>
    <n v="149"/>
    <n v="4431"/>
    <n v="207.4"/>
    <n v="19"/>
    <n v="9"/>
    <n v="0.06"/>
    <n v="1693"/>
    <n v="23.044444444444444"/>
    <d v="2024-12-11T00:00:00"/>
    <x v="0"/>
    <x v="1"/>
    <n v="8.1629701060752176"/>
    <n v="1.3919463087248323"/>
    <n v="23.044444444444444"/>
    <n v="1485.6"/>
    <s v="NO"/>
    <x v="0"/>
    <b v="1"/>
  </r>
  <r>
    <s v="A1018"/>
    <n v="150"/>
    <n v="3113"/>
    <n v="217.41"/>
    <n v="20"/>
    <n v="5"/>
    <n v="0.43"/>
    <n v="1785"/>
    <n v="43.481999999999999"/>
    <d v="2024-11-07T00:00:00"/>
    <x v="0"/>
    <x v="1"/>
    <n v="8.2102939147233336"/>
    <n v="1.4494"/>
    <n v="43.481999999999999"/>
    <n v="1567.59"/>
    <s v="NO"/>
    <x v="0"/>
    <b v="0"/>
  </r>
  <r>
    <s v="A1019"/>
    <n v="145"/>
    <n v="5278"/>
    <n v="220"/>
    <n v="25"/>
    <n v="6"/>
    <n v="4.1000000000000002E-2"/>
    <n v="1516"/>
    <n v="36.666666666666664"/>
    <d v="2024-11-05T00:00:00"/>
    <x v="0"/>
    <x v="0"/>
    <n v="6.8909090909090907"/>
    <n v="1.5172413793103448"/>
    <n v="36.666666666666664"/>
    <n v="1296"/>
    <s v="NO"/>
    <x v="1"/>
    <b v="0"/>
  </r>
  <r>
    <s v="A1020"/>
    <n v="184"/>
    <n v="4143"/>
    <n v="223.3"/>
    <n v="10"/>
    <n v="10"/>
    <n v="4.3999999999999997E-2"/>
    <n v="1735"/>
    <n v="22.330000000000002"/>
    <d v="2024-11-21T00:00:00"/>
    <x v="1"/>
    <x v="3"/>
    <n v="7.7698163905060449"/>
    <n v="1.2135869565217392"/>
    <n v="22.330000000000002"/>
    <n v="1511.7"/>
    <s v="NO"/>
    <x v="0"/>
    <b v="1"/>
  </r>
  <r>
    <s v="A1021"/>
    <n v="171"/>
    <n v="4154"/>
    <n v="184.23"/>
    <n v="30"/>
    <n v="7"/>
    <n v="4.1000000000000002E-2"/>
    <n v="1803"/>
    <n v="26.318571428571428"/>
    <d v="2024-11-08T00:00:00"/>
    <x v="0"/>
    <x v="3"/>
    <n v="9.7866796938609344"/>
    <n v="1.0773684210526315"/>
    <n v="26.318571428571428"/>
    <n v="1618.77"/>
    <s v="YES"/>
    <x v="0"/>
    <b v="0"/>
  </r>
  <r>
    <s v="A1022"/>
    <n v="122"/>
    <n v="5187"/>
    <n v="211.24"/>
    <n v="27"/>
    <n v="6"/>
    <n v="4.9000000000000002E-2"/>
    <n v="1322"/>
    <n v="35.206666666666671"/>
    <d v="2024-11-20T00:00:00"/>
    <x v="0"/>
    <x v="0"/>
    <n v="6.2582844158303352"/>
    <n v="1.7314754098360656"/>
    <n v="35.206666666666671"/>
    <n v="1110.76"/>
    <s v="NO"/>
    <x v="1"/>
    <b v="0"/>
  </r>
  <r>
    <s v="A1023"/>
    <n v="188"/>
    <n v="5798"/>
    <n v="230.17"/>
    <n v="28"/>
    <n v="5"/>
    <n v="4.7E-2"/>
    <n v="1452"/>
    <n v="46.033999999999999"/>
    <s v="30-11-2024"/>
    <x v="0"/>
    <x v="3"/>
    <n v="6.3083807620454451"/>
    <n v="1.2243085106382978"/>
    <n v="46.033999999999999"/>
    <n v="1221.83"/>
    <s v="NO"/>
    <x v="1"/>
    <b v="0"/>
  </r>
  <r>
    <s v="A1024"/>
    <n v="87"/>
    <n v="3718"/>
    <n v="120"/>
    <n v="12"/>
    <n v="3"/>
    <n v="3.4000000000000002E-2"/>
    <n v="1652"/>
    <n v="40"/>
    <s v="20-11-2024"/>
    <x v="1"/>
    <x v="3"/>
    <n v="13.766666666666667"/>
    <n v="1.3793103448275863"/>
    <n v="40"/>
    <n v="1532"/>
    <s v="NO"/>
    <x v="0"/>
    <b v="1"/>
  </r>
  <r>
    <s v="A1025"/>
    <n v="88"/>
    <n v="3349"/>
    <n v="181.92"/>
    <n v="22"/>
    <n v="8"/>
    <n v="9.0999999999999998E-2"/>
    <n v="1456"/>
    <n v="22.74"/>
    <d v="2024-11-20T00:00:00"/>
    <x v="0"/>
    <x v="3"/>
    <n v="8.0035180299032547"/>
    <n v="2.0672727272727269"/>
    <n v="22.74"/>
    <n v="1274.08"/>
    <s v="NO"/>
    <x v="0"/>
    <b v="1"/>
  </r>
  <r>
    <s v="A1026"/>
    <n v="119"/>
    <n v="5323"/>
    <n v="205.92"/>
    <n v="17"/>
    <n v="10"/>
    <n v="0.06"/>
    <n v="1656"/>
    <n v="20.591999999999999"/>
    <d v="2024-11-02T00:00:00"/>
    <x v="1"/>
    <x v="0"/>
    <n v="8.0419580419580416"/>
    <n v="1.7304201680672269"/>
    <n v="20.591999999999999"/>
    <n v="1450.08"/>
    <s v="NO"/>
    <x v="0"/>
    <b v="1"/>
  </r>
  <r>
    <s v="A1027"/>
    <n v="40"/>
    <n v="5286"/>
    <n v="234.89"/>
    <n v="22"/>
    <n v="10"/>
    <n v="3.3999999999999998E-3"/>
    <n v="1688"/>
    <n v="23.488999999999997"/>
    <d v="2024-11-21T00:00:00"/>
    <x v="0"/>
    <x v="0"/>
    <n v="7.1863425433181494"/>
    <n v="5.8722499999999993"/>
    <n v="23.488999999999997"/>
    <n v="1453.1100000000001"/>
    <s v="NO"/>
    <x v="0"/>
    <b v="0"/>
  </r>
  <r>
    <s v="A1028"/>
    <n v="128"/>
    <n v="5469"/>
    <n v="188.49"/>
    <n v="16"/>
    <n v="3"/>
    <n v="0.34"/>
    <n v="1783"/>
    <n v="62.830000000000005"/>
    <d v="2024-11-23T00:00:00"/>
    <x v="1"/>
    <x v="1"/>
    <n v="9.4593877659292271"/>
    <n v="1.4725781250000001"/>
    <n v="62.830000000000005"/>
    <n v="1594.51"/>
    <s v="NO"/>
    <x v="0"/>
    <b v="0"/>
  </r>
  <r>
    <s v="A1029"/>
    <n v="86"/>
    <n v="3351"/>
    <n v="237.75"/>
    <n v="21"/>
    <n v="9"/>
    <n v="0.105"/>
    <n v="1975"/>
    <n v="26.416666666666668"/>
    <d v="2024-11-13T00:00:00"/>
    <x v="0"/>
    <x v="1"/>
    <n v="8.3070452155625656"/>
    <n v="2.76453488372093"/>
    <n v="26.416666666666668"/>
    <n v="1737.25"/>
    <s v="YES"/>
    <x v="0"/>
    <b v="0"/>
  </r>
  <r>
    <s v="A1030"/>
    <n v="188"/>
    <n v="4834"/>
    <n v="213.58"/>
    <n v="15"/>
    <n v="4"/>
    <n v="2.1000000000000001E-2"/>
    <n v="1590"/>
    <n v="53.395000000000003"/>
    <d v="2024-11-08T00:00:00"/>
    <x v="1"/>
    <x v="3"/>
    <n v="7.4445172768985852"/>
    <n v="1.1360638297872341"/>
    <n v="53.395000000000003"/>
    <n v="1376.42"/>
    <s v="NO"/>
    <x v="0"/>
    <b v="0"/>
  </r>
  <r>
    <s v="A1031"/>
    <n v="113"/>
    <n v="5065"/>
    <n v="212.37"/>
    <n v="11"/>
    <n v="5"/>
    <n v="3.4000000000000002E-2"/>
    <n v="1111"/>
    <n v="42.474000000000004"/>
    <s v="22-11-2024"/>
    <x v="0"/>
    <x v="0"/>
    <n v="5.2314357018411259"/>
    <n v="1.8793805309734513"/>
    <n v="42.474000000000004"/>
    <n v="898.63"/>
    <s v="NO"/>
    <x v="1"/>
    <b v="0"/>
  </r>
  <r>
    <s v="A1032"/>
    <n v="90"/>
    <n v="3872"/>
    <n v="244.38"/>
    <n v="20"/>
    <n v="4"/>
    <n v="4.3E-3"/>
    <n v="1041"/>
    <n v="61.094999999999999"/>
    <d v="2024-12-11T00:00:00"/>
    <x v="0"/>
    <x v="3"/>
    <n v="4.259759391112202"/>
    <n v="2.7153333333333332"/>
    <n v="61.094999999999999"/>
    <n v="796.62"/>
    <s v="NO"/>
    <x v="1"/>
    <b v="0"/>
  </r>
  <r>
    <s v="A1033"/>
    <n v="176"/>
    <n v="5509"/>
    <n v="234.59"/>
    <n v="19"/>
    <n v="7"/>
    <n v="5.3999999999999999E-2"/>
    <n v="1710"/>
    <n v="33.512857142857143"/>
    <d v="2024-11-03T00:00:00"/>
    <x v="1"/>
    <x v="3"/>
    <n v="7.2893132699603562"/>
    <n v="1.3328977272727274"/>
    <n v="33.512857142857143"/>
    <n v="1475.41"/>
    <s v="NO"/>
    <x v="0"/>
    <b v="1"/>
  </r>
  <r>
    <s v="A1034"/>
    <n v="121"/>
    <n v="5610"/>
    <n v="214.96"/>
    <n v="23"/>
    <n v="8"/>
    <n v="4.0000000000000001E-3"/>
    <m/>
    <n v="26.87"/>
    <d v="2024-11-25T00:00:00"/>
    <x v="0"/>
    <x v="1"/>
    <n v="0"/>
    <n v="1.7765289256198349"/>
    <n v="26.87"/>
    <n v="-214.96"/>
    <s v="NO"/>
    <x v="1"/>
    <b v="0"/>
  </r>
  <r>
    <s v="A1035"/>
    <n v="104"/>
    <n v="5275"/>
    <n v="236.48"/>
    <n v="16"/>
    <n v="9"/>
    <n v="3.1E-2"/>
    <n v="1824"/>
    <n v="26.275555555555556"/>
    <d v="2024-01-11T00:00:00"/>
    <x v="0"/>
    <x v="0"/>
    <n v="7.7131258457374834"/>
    <n v="2.2738461538461539"/>
    <n v="26.275555555555556"/>
    <n v="1587.52"/>
    <s v="YES"/>
    <x v="0"/>
    <b v="1"/>
  </r>
  <r>
    <s v="A1036"/>
    <n v="146"/>
    <n v="5939"/>
    <n v="242.9"/>
    <n v="11"/>
    <n v="8"/>
    <n v="3.5000000000000003E-2"/>
    <n v="1833"/>
    <n v="30.362500000000001"/>
    <d v="2024-11-07T00:00:00"/>
    <x v="0"/>
    <x v="0"/>
    <n v="7.5463153561136265"/>
    <n v="1.6636986301369863"/>
    <n v="30.362500000000001"/>
    <n v="1590.1"/>
    <s v="YES"/>
    <x v="0"/>
    <b v="1"/>
  </r>
  <r>
    <s v="A1037"/>
    <n v="123"/>
    <n v="5131"/>
    <n v="211"/>
    <n v="19"/>
    <n v="5"/>
    <n v="4.1000000000000002E-2"/>
    <n v="1307"/>
    <n v="42.2"/>
    <d v="2024-09-11T00:00:00"/>
    <x v="2"/>
    <x v="1"/>
    <n v="6.1943127962085311"/>
    <n v="1.7154471544715446"/>
    <n v="42.2"/>
    <n v="1096"/>
    <s v="NO"/>
    <x v="1"/>
    <b v="0"/>
  </r>
  <r>
    <s v="A1038"/>
    <n v="90"/>
    <n v="5786"/>
    <n v="197.55"/>
    <n v="11"/>
    <n v="6"/>
    <n v="4.2999999999999997E-2"/>
    <n v="1704"/>
    <n v="32.925000000000004"/>
    <s v="16-11-2024"/>
    <x v="0"/>
    <x v="1"/>
    <n v="8.6256643887623383"/>
    <n v="2.1950000000000003"/>
    <n v="32.925000000000004"/>
    <n v="1506.45"/>
    <s v="NO"/>
    <x v="0"/>
    <b v="0"/>
  </r>
  <r>
    <s v="A1039"/>
    <n v="171"/>
    <n v="4304"/>
    <n v="192.61"/>
    <n v="17"/>
    <n v="10"/>
    <n v="5.8000000000000003E-2"/>
    <n v="1427"/>
    <n v="19.261000000000003"/>
    <d v="2024-11-26T00:00:00"/>
    <x v="2"/>
    <x v="1"/>
    <n v="7.4087534395929593"/>
    <n v="1.126374269005848"/>
    <n v="19.261000000000003"/>
    <n v="1234.3899999999999"/>
    <s v="NO"/>
    <x v="0"/>
    <b v="0"/>
  </r>
  <r>
    <s v="A1040"/>
    <n v="94"/>
    <n v="5549"/>
    <n v="231.23"/>
    <n v="25"/>
    <n v="9"/>
    <n v="9.6000000000000002E-2"/>
    <n v="1849"/>
    <n v="25.69222222222222"/>
    <d v="2024-11-12T00:00:00"/>
    <x v="1"/>
    <x v="1"/>
    <n v="7.9963672533840766"/>
    <n v="2.4598936170212764"/>
    <n v="25.69222222222222"/>
    <n v="1617.77"/>
    <s v="YES"/>
    <x v="0"/>
    <b v="0"/>
  </r>
  <r>
    <s v="A1041"/>
    <n v="112"/>
    <n v="4271"/>
    <n v="196.07"/>
    <n v="27"/>
    <n v="6"/>
    <n v="3.0000000000000001E-3"/>
    <n v="1209"/>
    <n v="32.678333333333335"/>
    <d v="2024-11-14T00:00:00"/>
    <x v="0"/>
    <x v="0"/>
    <n v="6.1661651451012398"/>
    <n v="1.7506249999999999"/>
    <n v="32.678333333333335"/>
    <n v="1012.9300000000001"/>
    <s v="NO"/>
    <x v="1"/>
    <b v="0"/>
  </r>
  <r>
    <s v="A1042"/>
    <n v="113"/>
    <n v="4418"/>
    <n v="191.55"/>
    <n v="27"/>
    <n v="10"/>
    <n v="4.3E-3"/>
    <n v="1634"/>
    <n v="19.155000000000001"/>
    <d v="2024-11-09T00:00:00"/>
    <x v="1"/>
    <x v="1"/>
    <n v="8.5304098146697989"/>
    <n v="1.695132743362832"/>
    <n v="19.155000000000001"/>
    <n v="1442.45"/>
    <s v="NO"/>
    <x v="0"/>
    <b v="1"/>
  </r>
  <r>
    <s v="A1043"/>
    <n v="145"/>
    <n v="3721"/>
    <n v="180.95"/>
    <n v="21"/>
    <n v="7"/>
    <n v="4.8000000000000001E-2"/>
    <n v="1960"/>
    <n v="25.849999999999998"/>
    <s v="29-11-2024"/>
    <x v="2"/>
    <x v="0"/>
    <n v="10.831721470019342"/>
    <n v="1.2479310344827585"/>
    <n v="25.849999999999998"/>
    <n v="1779.05"/>
    <s v="YES"/>
    <x v="0"/>
    <b v="0"/>
  </r>
  <r>
    <s v="A1044"/>
    <n v="197"/>
    <n v="5783"/>
    <n v="204.46"/>
    <n v="23"/>
    <n v="6"/>
    <n v="3.4000000000000002E-2"/>
    <n v="1729"/>
    <n v="34.076666666666668"/>
    <d v="2024-01-11T00:00:00"/>
    <x v="2"/>
    <x v="3"/>
    <n v="8.4564217939939343"/>
    <n v="1.0378680203045685"/>
    <n v="34.076666666666668"/>
    <n v="1524.54"/>
    <s v="NO"/>
    <x v="0"/>
    <b v="0"/>
  </r>
  <r>
    <s v="A1045"/>
    <n v="109"/>
    <n v="4866"/>
    <n v="236.78"/>
    <n v="27"/>
    <n v="5"/>
    <n v="4.2999999999999997E-2"/>
    <n v="1585"/>
    <n v="47.356000000000002"/>
    <s v="15-11-2024"/>
    <x v="0"/>
    <x v="1"/>
    <n v="6.693977531886139"/>
    <n v="2.1722935779816512"/>
    <n v="47.356000000000002"/>
    <n v="1348.22"/>
    <s v="NO"/>
    <x v="1"/>
    <b v="0"/>
  </r>
  <r>
    <s v="A1046"/>
    <n v="188"/>
    <n v="5857"/>
    <n v="222.98"/>
    <n v="20"/>
    <n v="4"/>
    <n v="4.8000000000000001E-2"/>
    <n v="1303"/>
    <n v="55.744999999999997"/>
    <d v="2024-11-11T00:00:00"/>
    <x v="0"/>
    <x v="0"/>
    <n v="5.8435734146560234"/>
    <n v="1.1860638297872339"/>
    <n v="55.744999999999997"/>
    <n v="1080.02"/>
    <s v="NO"/>
    <x v="1"/>
    <b v="0"/>
  </r>
  <r>
    <s v="A1047"/>
    <n v="142"/>
    <n v="5103"/>
    <n v="234.1"/>
    <n v="24"/>
    <n v="3"/>
    <n v="2.1000000000000001E-2"/>
    <n v="1835"/>
    <n v="78.033333333333331"/>
    <d v="2024-11-08T00:00:00"/>
    <x v="1"/>
    <x v="1"/>
    <n v="7.8385305425032037"/>
    <n v="1.6485915492957746"/>
    <n v="78.033333333333331"/>
    <n v="1600.9"/>
    <s v="YES"/>
    <x v="0"/>
    <b v="0"/>
  </r>
  <r>
    <s v="A1048"/>
    <n v="168"/>
    <n v="4653"/>
    <n v="240.84"/>
    <n v="27"/>
    <n v="9"/>
    <n v="5.3999999999999999E-2"/>
    <n v="1367"/>
    <n v="26.76"/>
    <d v="2024-11-24T00:00:00"/>
    <x v="2"/>
    <x v="1"/>
    <n v="5.6759674472678956"/>
    <n v="1.4335714285714285"/>
    <n v="26.76"/>
    <n v="1126.1600000000001"/>
    <s v="NO"/>
    <x v="1"/>
    <b v="0"/>
  </r>
  <r>
    <s v="A1049"/>
    <n v="110"/>
    <n v="3524"/>
    <n v="248.86"/>
    <n v="19"/>
    <n v="10"/>
    <n v="9.0999999999999998E-2"/>
    <n v="1524"/>
    <n v="24.886000000000003"/>
    <s v="21-11-2024"/>
    <x v="1"/>
    <x v="1"/>
    <n v="6.1239250984489271"/>
    <n v="2.2623636363636366"/>
    <n v="24.886000000000003"/>
    <n v="1275.1399999999999"/>
    <s v="NO"/>
    <x v="1"/>
    <b v="0"/>
  </r>
  <r>
    <s v="A1050"/>
    <n v="192"/>
    <n v="5938"/>
    <n v="182.84"/>
    <n v="26"/>
    <n v="5"/>
    <n v="3.9E-2"/>
    <n v="1080"/>
    <n v="36.567999999999998"/>
    <d v="2024-11-12T00:00:00"/>
    <x v="2"/>
    <x v="1"/>
    <n v="5.9068037628527676"/>
    <n v="0.95229166666666665"/>
    <n v="36.567999999999998"/>
    <n v="897.16"/>
    <s v="NO"/>
    <x v="1"/>
    <b v="0"/>
  </r>
  <r>
    <s v="A1051"/>
    <n v="101"/>
    <n v="3942"/>
    <n v="206.62"/>
    <n v="16"/>
    <n v="5"/>
    <n v="0.05"/>
    <n v="1746"/>
    <n v="41.323999999999998"/>
    <d v="2024-11-24T00:00:00"/>
    <x v="0"/>
    <x v="3"/>
    <n v="8.4502952279546992"/>
    <n v="2.0457425742574258"/>
    <n v="41.323999999999998"/>
    <n v="1539.38"/>
    <s v="NO"/>
    <x v="0"/>
    <b v="0"/>
  </r>
  <r>
    <s v="A1052"/>
    <n v="157"/>
    <n v="3315"/>
    <n v="189.56"/>
    <n v="15"/>
    <n v="10"/>
    <n v="6.4000000000000001E-2"/>
    <n v="1026"/>
    <n v="18.956"/>
    <d v="2024-11-25T00:00:00"/>
    <x v="0"/>
    <x v="1"/>
    <n v="5.4125342899345856"/>
    <n v="1.2073885350318472"/>
    <n v="18.956"/>
    <n v="836.44"/>
    <s v="NO"/>
    <x v="1"/>
    <b v="0"/>
  </r>
  <r>
    <s v="A1053"/>
    <n v="113"/>
    <n v="4945"/>
    <n v="187.66"/>
    <n v="15"/>
    <n v="10"/>
    <n v="4.8000000000000001E-2"/>
    <n v="1564"/>
    <n v="18.765999999999998"/>
    <d v="2024-11-26T00:00:00"/>
    <x v="0"/>
    <x v="3"/>
    <n v="8.3342214643504207"/>
    <n v="1.6607079646017699"/>
    <n v="18.765999999999998"/>
    <n v="1376.34"/>
    <s v="NO"/>
    <x v="0"/>
    <b v="1"/>
  </r>
  <r>
    <s v="A1054"/>
    <n v="96"/>
    <n v="3166"/>
    <n v="196.15"/>
    <n v="29"/>
    <n v="7"/>
    <n v="7.2999999999999995E-2"/>
    <n v="1902"/>
    <n v="28.021428571428572"/>
    <s v="26-11-2024"/>
    <x v="0"/>
    <x v="0"/>
    <n v="9.6966607188376237"/>
    <n v="2.0432291666666669"/>
    <n v="28.021428571428572"/>
    <n v="1705.85"/>
    <s v="YES"/>
    <x v="0"/>
    <b v="0"/>
  </r>
  <r>
    <s v="A1055"/>
    <n v="125"/>
    <n v="4223"/>
    <n v="183.68"/>
    <n v="15"/>
    <n v="6"/>
    <n v="0.4"/>
    <n v="1267"/>
    <n v="30.613333333333333"/>
    <d v="2024-11-05T00:00:00"/>
    <x v="0"/>
    <x v="0"/>
    <n v="6.8978658536585362"/>
    <n v="1.4694400000000001"/>
    <n v="30.613333333333333"/>
    <n v="1083.32"/>
    <s v="NO"/>
    <x v="1"/>
    <b v="0"/>
  </r>
  <r>
    <s v="A1056"/>
    <n v="104"/>
    <n v="4798"/>
    <n v="210.1"/>
    <n v="18"/>
    <n v="3"/>
    <n v="4.4999999999999998E-2"/>
    <n v="1340"/>
    <n v="70.033333333333331"/>
    <s v="21-11-2024"/>
    <x v="0"/>
    <x v="0"/>
    <n v="6.3779152784388389"/>
    <n v="2.0201923076923078"/>
    <n v="70.033333333333331"/>
    <n v="1129.9000000000001"/>
    <s v="NO"/>
    <x v="1"/>
    <b v="0"/>
  </r>
  <r>
    <s v="A1057"/>
    <n v="194"/>
    <n v="5655"/>
    <n v="208.58"/>
    <n v="13"/>
    <n v="6"/>
    <n v="3.1E-2"/>
    <n v="1692"/>
    <n v="34.763333333333335"/>
    <d v="2024-11-16T00:00:00"/>
    <x v="2"/>
    <x v="1"/>
    <n v="8.1119953974494194"/>
    <n v="1.0751546391752578"/>
    <n v="34.763333333333335"/>
    <n v="1483.42"/>
    <s v="NO"/>
    <x v="0"/>
    <b v="1"/>
  </r>
  <r>
    <s v="A1058"/>
    <n v="144"/>
    <n v="5140"/>
    <n v="219.48"/>
    <n v="19"/>
    <n v="8"/>
    <n v="4.7E-2"/>
    <n v="1054"/>
    <n v="27.434999999999999"/>
    <s v="18-11-2024"/>
    <x v="1"/>
    <x v="0"/>
    <n v="4.8022598870056497"/>
    <n v="1.5241666666666667"/>
    <n v="27.434999999999999"/>
    <n v="834.52"/>
    <s v="NO"/>
    <x v="1"/>
    <b v="0"/>
  </r>
  <r>
    <s v="A1059"/>
    <n v="179"/>
    <n v="3025"/>
    <n v="238.81"/>
    <n v="17"/>
    <n v="3"/>
    <n v="1.7000000000000001E-2"/>
    <m/>
    <n v="79.603333333333339"/>
    <d v="2024-11-11T00:00:00"/>
    <x v="0"/>
    <x v="1"/>
    <n v="0"/>
    <n v="1.3341340782122906"/>
    <n v="79.603333333333339"/>
    <n v="-238.81"/>
    <s v="NO"/>
    <x v="1"/>
    <b v="0"/>
  </r>
  <r>
    <s v="A1060"/>
    <n v="166"/>
    <n v="5223"/>
    <n v="189.76"/>
    <n v="18"/>
    <n v="7"/>
    <n v="4.2000000000000003E-2"/>
    <n v="1219"/>
    <n v="27.108571428571427"/>
    <s v="16-11-2024"/>
    <x v="1"/>
    <x v="3"/>
    <n v="6.4239038785834746"/>
    <n v="1.1431325301204818"/>
    <n v="27.108571428571427"/>
    <n v="1029.24"/>
    <s v="NO"/>
    <x v="1"/>
    <b v="0"/>
  </r>
  <r>
    <s v="A1061"/>
    <n v="166"/>
    <n v="5089"/>
    <n v="156"/>
    <n v="26"/>
    <n v="7"/>
    <n v="4.2000000000000003E-2"/>
    <n v="1946"/>
    <n v="22.285714285714285"/>
    <d v="2024-11-11T00:00:00"/>
    <x v="1"/>
    <x v="3"/>
    <n v="12.474358974358974"/>
    <n v="0.93975903614457834"/>
    <n v="22.285714285714285"/>
    <n v="1790"/>
    <s v="YES"/>
    <x v="0"/>
    <b v="0"/>
  </r>
  <r>
    <s v="A1062"/>
    <n v="118"/>
    <n v="5016"/>
    <n v="204.31"/>
    <n v="19"/>
    <n v="9"/>
    <n v="4.4999999999999998E-2"/>
    <n v="1833"/>
    <n v="22.701111111111111"/>
    <d v="2024-11-08T00:00:00"/>
    <x v="0"/>
    <x v="0"/>
    <n v="8.9716607116636489"/>
    <n v="1.7314406779661018"/>
    <n v="22.701111111111111"/>
    <n v="1628.69"/>
    <s v="YES"/>
    <x v="0"/>
    <b v="0"/>
  </r>
  <r>
    <s v="A1063"/>
    <n v="185"/>
    <n v="3617"/>
    <n v="222.32"/>
    <n v="24"/>
    <n v="7"/>
    <n v="3.7999999999999999E-2"/>
    <n v="1963"/>
    <n v="31.759999999999998"/>
    <s v="23-11-2024"/>
    <x v="0"/>
    <x v="1"/>
    <n v="8.8296149694134591"/>
    <n v="1.2017297297297298"/>
    <n v="31.759999999999998"/>
    <n v="1740.68"/>
    <s v="YES"/>
    <x v="0"/>
    <b v="0"/>
  </r>
  <r>
    <s v="A1064"/>
    <n v="116"/>
    <n v="3764"/>
    <n v="232.03"/>
    <n v="28"/>
    <n v="10"/>
    <n v="8.5999999999999993E-2"/>
    <n v="1348"/>
    <n v="23.202999999999999"/>
    <d v="2024-11-20T00:00:00"/>
    <x v="0"/>
    <x v="3"/>
    <n v="5.8095935870361588"/>
    <n v="2.0002586206896553"/>
    <n v="23.202999999999999"/>
    <n v="1115.97"/>
    <s v="NO"/>
    <x v="1"/>
    <b v="0"/>
  </r>
  <r>
    <s v="A1065"/>
    <n v="99"/>
    <n v="4489"/>
    <n v="183.73"/>
    <n v="15"/>
    <n v="6"/>
    <n v="6.0999999999999999E-2"/>
    <n v="1264"/>
    <n v="30.621666666666666"/>
    <d v="2024-11-05T00:00:00"/>
    <x v="0"/>
    <x v="0"/>
    <n v="6.8796603711968656"/>
    <n v="1.8558585858585857"/>
    <n v="30.621666666666666"/>
    <n v="1080.27"/>
    <s v="NO"/>
    <x v="1"/>
    <b v="0"/>
  </r>
  <r>
    <s v="A1066"/>
    <n v="172"/>
    <n v="4441"/>
    <n v="221.18"/>
    <n v="14"/>
    <n v="8"/>
    <n v="4.7E-2"/>
    <n v="1771"/>
    <n v="27.647500000000001"/>
    <s v="27-11-2024"/>
    <x v="0"/>
    <x v="1"/>
    <n v="8.0070530789402294"/>
    <n v="1.2859302325581397"/>
    <n v="27.647500000000001"/>
    <n v="1549.82"/>
    <s v="NO"/>
    <x v="0"/>
    <b v="0"/>
  </r>
  <r>
    <s v="A1067"/>
    <n v="138"/>
    <n v="5751"/>
    <n v="199.11"/>
    <n v="26"/>
    <n v="9"/>
    <n v="5.1999999999999998E-2"/>
    <n v="1337"/>
    <n v="22.123333333333335"/>
    <d v="2024-11-10T00:00:00"/>
    <x v="1"/>
    <x v="0"/>
    <n v="6.7148812214353866"/>
    <n v="1.4428260869565219"/>
    <n v="22.123333333333335"/>
    <n v="1137.8899999999999"/>
    <s v="NO"/>
    <x v="1"/>
    <b v="0"/>
  </r>
  <r>
    <s v="A1068"/>
    <n v="84"/>
    <n v="4036"/>
    <n v="234.22"/>
    <n v="23"/>
    <n v="10"/>
    <n v="0.11899999999999999"/>
    <n v="1287"/>
    <n v="23.422000000000001"/>
    <d v="2024-04-11T00:00:00"/>
    <x v="1"/>
    <x v="0"/>
    <n v="5.4948339168303306"/>
    <n v="2.7883333333333331"/>
    <n v="23.422000000000001"/>
    <n v="1052.78"/>
    <s v="NO"/>
    <x v="1"/>
    <b v="0"/>
  </r>
  <r>
    <s v="A1069"/>
    <n v="124"/>
    <n v="4942"/>
    <n v="240.59"/>
    <n v="18"/>
    <n v="3"/>
    <n v="2.4E-2"/>
    <n v="1922"/>
    <n v="80.196666666666673"/>
    <d v="2024-11-16T00:00:00"/>
    <x v="2"/>
    <x v="0"/>
    <n v="7.9886944594538427"/>
    <n v="1.9402419354838709"/>
    <n v="80.196666666666673"/>
    <n v="1681.41"/>
    <s v="YES"/>
    <x v="0"/>
    <b v="0"/>
  </r>
  <r>
    <s v="A1070"/>
    <n v="122"/>
    <n v="4989"/>
    <n v="215.48"/>
    <n v="12"/>
    <n v="5"/>
    <n v="4.1000000000000002E-2"/>
    <n v="1975"/>
    <n v="43.095999999999997"/>
    <d v="2024-11-06T00:00:00"/>
    <x v="0"/>
    <x v="1"/>
    <n v="9.1655838128828666"/>
    <n v="1.7662295081967212"/>
    <n v="43.095999999999997"/>
    <n v="1759.52"/>
    <s v="YES"/>
    <x v="0"/>
    <b v="0"/>
  </r>
  <r>
    <s v="A1071"/>
    <n v="180"/>
    <n v="3006"/>
    <n v="228.14"/>
    <n v="22"/>
    <n v="7"/>
    <n v="3.9E-2"/>
    <n v="1556"/>
    <n v="32.591428571428573"/>
    <d v="2024-11-04T00:00:00"/>
    <x v="0"/>
    <x v="3"/>
    <n v="6.8203734548961172"/>
    <n v="1.2674444444444444"/>
    <n v="32.591428571428573"/>
    <n v="1327.8600000000001"/>
    <s v="NO"/>
    <x v="1"/>
    <b v="0"/>
  </r>
  <r>
    <s v="A1072"/>
    <n v="133"/>
    <n v="3728"/>
    <n v="199.13"/>
    <n v="11"/>
    <n v="10"/>
    <n v="0.11899999999999999"/>
    <m/>
    <n v="19.913"/>
    <d v="2024-11-09T00:00:00"/>
    <x v="0"/>
    <x v="0"/>
    <n v="0"/>
    <n v="1.4972180451127819"/>
    <n v="19.913"/>
    <n v="-199.13"/>
    <s v="NO"/>
    <x v="1"/>
    <b v="0"/>
  </r>
  <r>
    <s v="A1073"/>
    <n v="164"/>
    <n v="3734"/>
    <n v="225.39"/>
    <n v="27"/>
    <n v="8"/>
    <n v="0.04"/>
    <n v="1728"/>
    <n v="28.173749999999998"/>
    <d v="2024-12-11T00:00:00"/>
    <x v="0"/>
    <x v="3"/>
    <n v="7.6667110342073741"/>
    <n v="1.3743292682926829"/>
    <n v="28.173749999999998"/>
    <n v="1502.6100000000001"/>
    <s v="NO"/>
    <x v="0"/>
    <b v="1"/>
  </r>
  <r>
    <s v="A1074"/>
    <n v="150"/>
    <n v="4621"/>
    <n v="246.3"/>
    <n v="15"/>
    <n v="6"/>
    <n v="4.9000000000000002E-2"/>
    <n v="1554"/>
    <n v="41.050000000000004"/>
    <d v="2024-11-09T00:00:00"/>
    <x v="0"/>
    <x v="0"/>
    <n v="6.309378806333739"/>
    <n v="1.6420000000000001"/>
    <n v="41.050000000000004"/>
    <n v="1307.7"/>
    <s v="NO"/>
    <x v="1"/>
    <b v="0"/>
  </r>
  <r>
    <s v="A1075"/>
    <n v="97"/>
    <n v="3212"/>
    <n v="212.55"/>
    <n v="27"/>
    <n v="10"/>
    <n v="0.10299999999999999"/>
    <n v="1994"/>
    <n v="21.255000000000003"/>
    <s v="23-11-2024"/>
    <x v="0"/>
    <x v="0"/>
    <n v="9.381322041872501"/>
    <n v="2.1912371134020621"/>
    <n v="21.255000000000003"/>
    <n v="1781.45"/>
    <s v="YES"/>
    <x v="0"/>
    <b v="0"/>
  </r>
  <r>
    <s v="A1076"/>
    <n v="128"/>
    <n v="4225"/>
    <n v="228.24"/>
    <n v="30"/>
    <n v="4"/>
    <n v="3.1E-2"/>
    <n v="1618"/>
    <n v="57.06"/>
    <d v="2024-11-08T00:00:00"/>
    <x v="1"/>
    <x v="1"/>
    <n v="7.0890290921836661"/>
    <n v="1.7831250000000001"/>
    <n v="57.06"/>
    <n v="1389.76"/>
    <s v="NO"/>
    <x v="0"/>
    <b v="0"/>
  </r>
  <r>
    <s v="A1077"/>
    <n v="99"/>
    <n v="4779"/>
    <n v="233.78"/>
    <n v="26"/>
    <n v="10"/>
    <n v="0.10100000000000001"/>
    <n v="1086"/>
    <n v="23.378"/>
    <d v="2024-11-05T00:00:00"/>
    <x v="0"/>
    <x v="0"/>
    <n v="4.6453931046282833"/>
    <n v="2.3614141414141416"/>
    <n v="23.378"/>
    <n v="852.22"/>
    <s v="NO"/>
    <x v="1"/>
    <b v="0"/>
  </r>
  <r>
    <s v="A1078"/>
    <n v="86"/>
    <n v="5352"/>
    <n v="234.05"/>
    <n v="11"/>
    <n v="5"/>
    <n v="5.8000000000000003E-2"/>
    <n v="1364"/>
    <n v="46.81"/>
    <d v="2024-11-09T00:00:00"/>
    <x v="2"/>
    <x v="3"/>
    <n v="5.8278145695364234"/>
    <n v="2.7215116279069771"/>
    <n v="46.81"/>
    <n v="1129.95"/>
    <s v="NO"/>
    <x v="1"/>
    <b v="0"/>
  </r>
  <r>
    <s v="A1079"/>
    <n v="118"/>
    <n v="5405"/>
    <n v="187.28"/>
    <n v="25"/>
    <n v="7"/>
    <n v="5.8000000000000003E-2"/>
    <n v="1836"/>
    <n v="26.754285714285714"/>
    <d v="2024-11-05T00:00:00"/>
    <x v="2"/>
    <x v="3"/>
    <n v="9.8035027765912002"/>
    <n v="1.5871186440677967"/>
    <n v="26.754285714285714"/>
    <n v="1648.72"/>
    <s v="YES"/>
    <x v="0"/>
    <b v="0"/>
  </r>
  <r>
    <s v="A1080"/>
    <n v="127"/>
    <n v="5430"/>
    <n v="199.13"/>
    <n v="14"/>
    <n v="6"/>
    <n v="4.7E-2"/>
    <n v="1932"/>
    <n v="33.188333333333333"/>
    <d v="2024-11-25T00:00:00"/>
    <x v="2"/>
    <x v="1"/>
    <n v="9.7022045899663532"/>
    <n v="1.5679527559055118"/>
    <n v="33.188333333333333"/>
    <n v="1732.87"/>
    <s v="YES"/>
    <x v="0"/>
    <b v="0"/>
  </r>
  <r>
    <s v="A1081"/>
    <n v="83"/>
    <n v="4808"/>
    <n v="241.35"/>
    <n v="20"/>
    <n v="7"/>
    <n v="8.4000000000000005E-2"/>
    <n v="1038"/>
    <n v="34.478571428571428"/>
    <s v="30-11-2024"/>
    <x v="1"/>
    <x v="1"/>
    <n v="4.3008079552517096"/>
    <n v="2.9078313253012049"/>
    <n v="34.478571428571428"/>
    <n v="796.65"/>
    <s v="NO"/>
    <x v="1"/>
    <b v="0"/>
  </r>
  <r>
    <s v="A1082"/>
    <n v="149"/>
    <n v="3587"/>
    <n v="217.53"/>
    <n v="23"/>
    <n v="8"/>
    <n v="0.11899999999999999"/>
    <m/>
    <n v="27.19125"/>
    <s v="17-11-2024"/>
    <x v="2"/>
    <x v="1"/>
    <n v="0"/>
    <n v="1.4599328859060403"/>
    <n v="27.19125"/>
    <n v="-217.53"/>
    <s v="NO"/>
    <x v="1"/>
    <b v="0"/>
  </r>
  <r>
    <s v="A1083"/>
    <n v="168"/>
    <n v="4683"/>
    <n v="215.28"/>
    <n v="30"/>
    <n v="8"/>
    <n v="4.8000000000000001E-2"/>
    <n v="1327"/>
    <n v="26.91"/>
    <d v="2024-11-28T00:00:00"/>
    <x v="0"/>
    <x v="1"/>
    <n v="6.1640654031958375"/>
    <n v="1.2814285714285714"/>
    <n v="26.91"/>
    <n v="1111.72"/>
    <s v="NO"/>
    <x v="1"/>
    <b v="0"/>
  </r>
  <r>
    <s v="A1084"/>
    <n v="112"/>
    <n v="5814"/>
    <n v="227.38"/>
    <n v="11"/>
    <n v="8"/>
    <n v="7.0999999999999994E-2"/>
    <n v="1467"/>
    <n v="28.422499999999999"/>
    <d v="2024-11-03T00:00:00"/>
    <x v="1"/>
    <x v="3"/>
    <n v="6.4517547717477353"/>
    <n v="2.0301785714285714"/>
    <n v="28.422499999999999"/>
    <n v="1239.6199999999999"/>
    <s v="NO"/>
    <x v="1"/>
    <b v="0"/>
  </r>
  <r>
    <s v="A1085"/>
    <n v="123"/>
    <n v="3292"/>
    <n v="233.2"/>
    <n v="28"/>
    <n v="6"/>
    <n v="4.9000000000000002E-2"/>
    <n v="1174"/>
    <n v="38.866666666666667"/>
    <d v="2024-11-19T00:00:00"/>
    <x v="0"/>
    <x v="0"/>
    <n v="5.0343053173241854"/>
    <n v="1.8959349593495933"/>
    <n v="38.866666666666667"/>
    <n v="940.8"/>
    <s v="NO"/>
    <x v="1"/>
    <b v="0"/>
  </r>
  <r>
    <s v="A1086"/>
    <n v="174"/>
    <n v="4305"/>
    <n v="206.02"/>
    <n v="20"/>
    <n v="3"/>
    <n v="3.4000000000000002E-2"/>
    <n v="1057"/>
    <n v="68.673333333333332"/>
    <d v="2024-11-23T00:00:00"/>
    <x v="0"/>
    <x v="0"/>
    <n v="5.1305698475876129"/>
    <n v="1.1840229885057472"/>
    <n v="68.673333333333332"/>
    <n v="850.98"/>
    <s v="NO"/>
    <x v="1"/>
    <b v="0"/>
  </r>
  <r>
    <s v="A1087"/>
    <n v="143"/>
    <n v="4368"/>
    <n v="210"/>
    <n v="27"/>
    <n v="7"/>
    <n v="4.9000000000000002E-2"/>
    <n v="1199"/>
    <n v="30"/>
    <d v="2024-03-11T00:00:00"/>
    <x v="2"/>
    <x v="3"/>
    <n v="5.7095238095238097"/>
    <n v="1.4685314685314685"/>
    <n v="30"/>
    <n v="989"/>
    <s v="NO"/>
    <x v="1"/>
    <b v="0"/>
  </r>
  <r>
    <s v="A1088"/>
    <n v="195"/>
    <n v="5935"/>
    <n v="209.68"/>
    <n v="23"/>
    <n v="9"/>
    <n v="4.5999999999999999E-2"/>
    <n v="1966"/>
    <n v="23.297777777777778"/>
    <d v="2024-11-07T00:00:00"/>
    <x v="2"/>
    <x v="3"/>
    <n v="9.3761922930179313"/>
    <n v="1.0752820512820513"/>
    <n v="23.297777777777778"/>
    <n v="1756.32"/>
    <s v="YES"/>
    <x v="0"/>
    <b v="0"/>
  </r>
  <r>
    <s v="A1089"/>
    <n v="176"/>
    <n v="5847"/>
    <n v="241.04"/>
    <n v="13"/>
    <n v="6"/>
    <n v="3.4000000000000002E-2"/>
    <n v="1194"/>
    <n v="40.173333333333332"/>
    <d v="2024-11-02T00:00:00"/>
    <x v="0"/>
    <x v="0"/>
    <n v="4.9535346830401599"/>
    <n v="1.3695454545454544"/>
    <n v="40.173333333333332"/>
    <n v="952.96"/>
    <s v="NO"/>
    <x v="1"/>
    <b v="0"/>
  </r>
  <r>
    <s v="A1090"/>
    <n v="141"/>
    <n v="4851"/>
    <n v="227.39"/>
    <n v="28"/>
    <n v="5"/>
    <n v="0.11899999999999999"/>
    <n v="1821"/>
    <n v="45.477999999999994"/>
    <d v="2024-11-15T00:00:00"/>
    <x v="0"/>
    <x v="0"/>
    <n v="8.0082677338493351"/>
    <n v="1.6126950354609928"/>
    <n v="45.477999999999994"/>
    <n v="1593.6100000000001"/>
    <s v="YES"/>
    <x v="0"/>
    <b v="0"/>
  </r>
  <r>
    <s v="A1091"/>
    <n v="108"/>
    <n v="4710"/>
    <n v="204.16"/>
    <n v="19"/>
    <n v="10"/>
    <n v="9.2999999999999999E-2"/>
    <n v="1731"/>
    <n v="20.416"/>
    <d v="2024-11-20T00:00:00"/>
    <x v="1"/>
    <x v="3"/>
    <n v="8.4786442006269596"/>
    <n v="1.8903703703703703"/>
    <n v="20.416"/>
    <n v="1526.84"/>
    <s v="NO"/>
    <x v="0"/>
    <b v="0"/>
  </r>
  <r>
    <s v="A1092"/>
    <n v="112"/>
    <n v="3345"/>
    <n v="160"/>
    <n v="11"/>
    <n v="6"/>
    <n v="4.7E-2"/>
    <n v="1859"/>
    <n v="26.666666666666668"/>
    <d v="2024-11-23T00:00:00"/>
    <x v="1"/>
    <x v="3"/>
    <n v="11.61875"/>
    <n v="1.4285714285714286"/>
    <n v="26.666666666666668"/>
    <n v="1699"/>
    <s v="YES"/>
    <x v="0"/>
    <b v="0"/>
  </r>
  <r>
    <s v="A1093"/>
    <n v="96"/>
    <n v="5903"/>
    <n v="184.41"/>
    <n v="23"/>
    <n v="9"/>
    <n v="7.0999999999999994E-2"/>
    <n v="1188"/>
    <n v="20.49"/>
    <s v="20-11-2024"/>
    <x v="1"/>
    <x v="3"/>
    <n v="6.4421669106881403"/>
    <n v="1.9209375"/>
    <n v="20.49"/>
    <n v="1003.59"/>
    <s v="NO"/>
    <x v="1"/>
    <b v="0"/>
  </r>
  <r>
    <s v="A1094"/>
    <n v="145"/>
    <n v="5004"/>
    <n v="216.45"/>
    <n v="22"/>
    <n v="5"/>
    <n v="3.4000000000000002E-2"/>
    <n v="1496"/>
    <n v="43.29"/>
    <d v="2024-11-01T00:00:00"/>
    <x v="2"/>
    <x v="3"/>
    <n v="6.911526911526912"/>
    <n v="1.492758620689655"/>
    <n v="43.29"/>
    <n v="1279.55"/>
    <s v="NO"/>
    <x v="1"/>
    <b v="0"/>
  </r>
  <r>
    <s v="A1095"/>
    <n v="183"/>
    <n v="3947"/>
    <n v="197.3"/>
    <n v="15"/>
    <n v="8"/>
    <n v="4.3999999999999997E-2"/>
    <n v="1645"/>
    <n v="24.662500000000001"/>
    <d v="2024-11-14T00:00:00"/>
    <x v="1"/>
    <x v="0"/>
    <n v="8.3375570197668516"/>
    <n v="1.0781420765027323"/>
    <n v="24.662500000000001"/>
    <n v="1447.7"/>
    <s v="NO"/>
    <x v="0"/>
    <b v="1"/>
  </r>
  <r>
    <s v="A1096"/>
    <n v="113"/>
    <n v="3690"/>
    <n v="229.42"/>
    <n v="20"/>
    <n v="5"/>
    <n v="4.3999999999999997E-2"/>
    <n v="1915"/>
    <n v="45.884"/>
    <d v="2024-11-28T00:00:00"/>
    <x v="0"/>
    <x v="3"/>
    <n v="8.3471362566471985"/>
    <n v="2.0302654867256638"/>
    <n v="45.884"/>
    <n v="1685.58"/>
    <s v="YES"/>
    <x v="0"/>
    <b v="0"/>
  </r>
  <r>
    <s v="A1097"/>
    <n v="101"/>
    <n v="5943"/>
    <n v="187.32"/>
    <n v="27"/>
    <n v="6"/>
    <n v="5.8999999999999997E-2"/>
    <n v="1614"/>
    <n v="31.22"/>
    <d v="2024-11-15T00:00:00"/>
    <x v="2"/>
    <x v="3"/>
    <n v="8.616271620755926"/>
    <n v="1.8546534653465345"/>
    <n v="31.22"/>
    <n v="1426.68"/>
    <s v="NO"/>
    <x v="0"/>
    <b v="1"/>
  </r>
  <r>
    <s v="A1098"/>
    <n v="189"/>
    <n v="5357"/>
    <n v="222.5"/>
    <n v="24"/>
    <n v="3"/>
    <n v="0.05"/>
    <n v="1839"/>
    <n v="74.166666666666671"/>
    <d v="2024-11-25T00:00:00"/>
    <x v="2"/>
    <x v="3"/>
    <n v="8.2651685393258418"/>
    <n v="1.1772486772486772"/>
    <n v="74.166666666666671"/>
    <n v="1616.5"/>
    <s v="YES"/>
    <x v="0"/>
    <b v="0"/>
  </r>
  <r>
    <m/>
    <m/>
    <m/>
    <m/>
    <m/>
    <m/>
    <m/>
    <m/>
    <e v="#DIV/0!"/>
    <m/>
    <x v="3"/>
    <x v="2"/>
    <m/>
    <m/>
    <e v="#DIV/0!"/>
    <n v="0"/>
    <s v="NO"/>
    <x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F81A0-FAE6-4C62-A8A9-E256320A50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1"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h="1" x="2"/>
        <item t="default"/>
      </items>
    </pivotField>
    <pivotField showAll="0"/>
    <pivotField showAll="0"/>
    <pivotField showAll="0"/>
    <pivotField numFmtId="8" showAll="0"/>
    <pivotField showAll="0"/>
    <pivotField showAll="0">
      <items count="3">
        <item x="1"/>
        <item x="0"/>
        <item t="default"/>
      </items>
    </pivotField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3" baseField="0" baseItem="0"/>
    <dataField name="Sum of Sale_Amount" fld="7" baseField="0" baseItem="0" numFmtId="44"/>
    <dataField name="Average of ROAS" fld="20" baseField="11" baseItem="0" numFmtId="2"/>
  </dataFields>
  <formats count="7">
    <format dxfId="28">
      <pivotArea collapsedLevelsAreSubtotals="1" fieldPosition="0">
        <references count="2">
          <reference field="4294967294" count="1" selected="0">
            <x v="0"/>
          </reference>
          <reference field="11" count="1">
            <x v="0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11" count="1">
            <x v="1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11" count="1">
            <x v="2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11" count="1">
            <x v="3"/>
          </reference>
        </references>
      </pivotArea>
    </format>
    <format dxfId="24">
      <pivotArea field="1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8A3B0-CBC1-4C5E-A2A0-5F9E972868BB}" name="Table1" displayName="Table1" ref="B1:U101" totalsRowShown="0" headerRowDxfId="21" dataDxfId="20">
  <autoFilter ref="B1:U101" xr:uid="{CB98A3B0-CBC1-4C5E-A2A0-5F9E972868BB}"/>
  <tableColumns count="20">
    <tableColumn id="1" xr3:uid="{9A2C3483-38FD-4D93-BB3B-238D8CFEA65C}" name="Ad_ID" dataDxfId="19"/>
    <tableColumn id="3" xr3:uid="{B46CF84F-DE5E-44F5-9E4D-A7E8948747B7}" name="Clicks" dataDxfId="18"/>
    <tableColumn id="4" xr3:uid="{F98C15A3-FE23-4849-94F5-4DBF6A130474}" name="Impressions" dataDxfId="17"/>
    <tableColumn id="5" xr3:uid="{CDE33DB1-38E2-4CA8-92EE-1DBE9B25519B}" name="Cost" dataDxfId="16"/>
    <tableColumn id="6" xr3:uid="{58FE13FE-C701-420A-BEA8-0F96A3524484}" name="Leads" dataDxfId="15"/>
    <tableColumn id="7" xr3:uid="{C994D731-86B5-4080-901E-8785EF00F13D}" name="Conversions" dataDxfId="14"/>
    <tableColumn id="8" xr3:uid="{882971E2-9483-4E86-BAC3-89DFC649644D}" name="Conversion Rate" dataDxfId="13"/>
    <tableColumn id="9" xr3:uid="{30B7DD98-9221-4989-8DF8-FE03B0AF7189}" name="Sale_Amount" dataDxfId="12"/>
    <tableColumn id="17" xr3:uid="{4ADAB6B4-DCAD-4141-9AC3-3B8373E97DF2}" name="CAC" dataDxfId="11">
      <calculatedColumnFormula>Table1[[#This Row],[Cost]]/Table1[[#This Row],[Conversions]]</calculatedColumnFormula>
    </tableColumn>
    <tableColumn id="10" xr3:uid="{7E824A40-A101-4EF1-A62A-4ED240D4347E}" name="Ad_Date" dataDxfId="10"/>
    <tableColumn id="11" xr3:uid="{A3A66C35-25F4-4034-B534-DD9D01BB18CF}" name="Location" dataDxfId="9"/>
    <tableColumn id="12" xr3:uid="{2657F906-F2CD-4A2B-8DD4-6793486AE43D}" name="Device" dataDxfId="8"/>
    <tableColumn id="14" xr3:uid="{C26305EB-2907-41DE-9D6E-D830E3627B22}" name="ROAS" dataDxfId="7">
      <calculatedColumnFormula>Table1[[#This Row],[Sale_Amount]]/Table1[[#This Row],[Cost]]</calculatedColumnFormula>
    </tableColumn>
    <tableColumn id="15" xr3:uid="{21983590-957B-4327-AA16-072D49A7C3CE}" name="CPC" dataDxfId="6">
      <calculatedColumnFormula>Table1[[#This Row],[Cost]]/Table1[[#This Row],[Clicks]]</calculatedColumnFormula>
    </tableColumn>
    <tableColumn id="16" xr3:uid="{90CB5FCF-3378-4A2D-8CD9-63FCF3511084}" name="CPA" dataDxfId="5">
      <calculatedColumnFormula>Table1[[#This Row],[Cost]]/Table1[[#This Row],[Conversions]]</calculatedColumnFormula>
    </tableColumn>
    <tableColumn id="13" xr3:uid="{2C77D58F-31F8-4152-B20D-3B1639D6BA40}" name="Profit" dataDxfId="4">
      <calculatedColumnFormula>Table1[[#This Row],[Sale_Amount]]-Table1[[#This Row],[Cost]]</calculatedColumnFormula>
    </tableColumn>
    <tableColumn id="18" xr3:uid="{32085008-7265-494B-ABCE-BEAF3AAD02F4}" name="High sales" dataDxfId="3">
      <calculatedColumnFormula>IF(Table1[[#This Row],[Sale_Amount]]&gt;1800,"YES","NO")</calculatedColumnFormula>
    </tableColumn>
    <tableColumn id="20" xr3:uid="{446195A3-5E03-4659-A6B8-C019747A10AE}" name="High ROAS" dataDxfId="2">
      <calculatedColumnFormula>IF(Table1[[#This Row],[ROAS]]&gt;7,"YES","NO")</calculatedColumnFormula>
    </tableColumn>
    <tableColumn id="2" xr3:uid="{1F19596B-ABEB-47DB-8F3B-485E4C0986EC}" name="Good Campain" dataDxfId="1">
      <calculatedColumnFormula>_xlfn.XOR(Table1[[#This Row],[Sale_Amount]]&gt;1700,Table1[[#This Row],[ROAS]]&gt;7.8)</calculatedColumnFormula>
    </tableColumn>
    <tableColumn id="19" xr3:uid="{271A561C-785E-48FA-9489-62F317567302}" name="Total 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D040-83F1-416C-9318-C4B26C2DB80E}">
  <dimension ref="B1:X102"/>
  <sheetViews>
    <sheetView tabSelected="1" topLeftCell="I1" zoomScale="76" zoomScaleNormal="76" workbookViewId="0">
      <selection activeCell="X21" sqref="X21"/>
    </sheetView>
  </sheetViews>
  <sheetFormatPr defaultRowHeight="14.4" x14ac:dyDescent="0.3"/>
  <cols>
    <col min="2" max="2" width="17.109375" customWidth="1"/>
    <col min="3" max="3" width="13.109375" customWidth="1"/>
    <col min="4" max="4" width="13.88671875" customWidth="1"/>
    <col min="5" max="5" width="9.5546875" bestFit="1" customWidth="1"/>
    <col min="6" max="6" width="13" customWidth="1"/>
    <col min="7" max="7" width="16.21875" customWidth="1"/>
    <col min="8" max="8" width="17.6640625" customWidth="1"/>
    <col min="9" max="10" width="15.6640625" customWidth="1"/>
    <col min="11" max="11" width="14.109375" customWidth="1"/>
    <col min="12" max="12" width="13.33203125" customWidth="1"/>
    <col min="13" max="13" width="17.6640625" customWidth="1"/>
    <col min="17" max="17" width="13.5546875" customWidth="1"/>
    <col min="18" max="18" width="15.6640625" customWidth="1"/>
    <col min="19" max="19" width="13.44140625" customWidth="1"/>
    <col min="20" max="20" width="17.77734375" customWidth="1"/>
    <col min="21" max="21" width="13.88671875" customWidth="1"/>
    <col min="22" max="24" width="18.6640625" bestFit="1" customWidth="1"/>
    <col min="25" max="25" width="15.77734375" bestFit="1" customWidth="1"/>
    <col min="26" max="26" width="23.33203125" bestFit="1" customWidth="1"/>
    <col min="27" max="27" width="16.6640625" bestFit="1" customWidth="1"/>
    <col min="28" max="51" width="16.44140625" bestFit="1" customWidth="1"/>
    <col min="52" max="52" width="15.77734375" bestFit="1" customWidth="1"/>
    <col min="53" max="53" width="16.77734375" bestFit="1" customWidth="1"/>
    <col min="54" max="54" width="15.5546875" bestFit="1" customWidth="1"/>
  </cols>
  <sheetData>
    <row r="1" spans="2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132</v>
      </c>
      <c r="K1" s="1" t="s">
        <v>8</v>
      </c>
      <c r="L1" s="1" t="s">
        <v>9</v>
      </c>
      <c r="M1" s="1" t="s">
        <v>10</v>
      </c>
      <c r="N1" s="1" t="s">
        <v>129</v>
      </c>
      <c r="O1" s="1" t="s">
        <v>130</v>
      </c>
      <c r="P1" s="1" t="s">
        <v>131</v>
      </c>
      <c r="Q1" s="1" t="s">
        <v>136</v>
      </c>
      <c r="R1" s="1" t="s">
        <v>134</v>
      </c>
      <c r="S1" s="1" t="s">
        <v>133</v>
      </c>
      <c r="T1" s="1" t="s">
        <v>135</v>
      </c>
      <c r="U1" s="1" t="s">
        <v>155</v>
      </c>
      <c r="W1" t="s">
        <v>153</v>
      </c>
      <c r="X1" t="s">
        <v>154</v>
      </c>
    </row>
    <row r="2" spans="2:24" x14ac:dyDescent="0.3">
      <c r="B2" s="1" t="s">
        <v>11</v>
      </c>
      <c r="C2" s="1">
        <v>104</v>
      </c>
      <c r="D2" s="1">
        <v>4498</v>
      </c>
      <c r="E2" s="2">
        <v>231.88</v>
      </c>
      <c r="F2" s="1">
        <v>14</v>
      </c>
      <c r="G2" s="1">
        <v>7</v>
      </c>
      <c r="H2" s="1">
        <v>5.8000000000000003E-2</v>
      </c>
      <c r="I2" s="3">
        <v>1892</v>
      </c>
      <c r="J2" s="3">
        <f>Table1[[#This Row],[Cost]]/Table1[[#This Row],[Conversions]]</f>
        <v>33.125714285714288</v>
      </c>
      <c r="K2" s="4">
        <v>45612</v>
      </c>
      <c r="L2" s="1" t="s">
        <v>147</v>
      </c>
      <c r="M2" s="1" t="s">
        <v>12</v>
      </c>
      <c r="N2" s="12">
        <f>Table1[[#This Row],[Sale_Amount]]/Table1[[#This Row],[Cost]]</f>
        <v>8.1593927893738147</v>
      </c>
      <c r="O2" s="2">
        <f>Table1[[#This Row],[Cost]]/Table1[[#This Row],[Clicks]]</f>
        <v>2.2296153846153848</v>
      </c>
      <c r="P2" s="2">
        <f>Table1[[#This Row],[Cost]]/Table1[[#This Row],[Conversions]]</f>
        <v>33.125714285714288</v>
      </c>
      <c r="Q2" s="2">
        <f>Table1[[#This Row],[Sale_Amount]]-Table1[[#This Row],[Cost]]</f>
        <v>1660.12</v>
      </c>
      <c r="R2" s="1" t="str">
        <f>IF(Table1[[#This Row],[Sale_Amount]]&gt;1800,"YES","NO")</f>
        <v>YES</v>
      </c>
      <c r="S2" s="1" t="str">
        <f>IF(Table1[[#This Row],[ROAS]]&gt;7,"YES","NO")</f>
        <v>YES</v>
      </c>
      <c r="T2" s="1" t="b">
        <f>_xlfn.XOR(Table1[[#This Row],[Sale_Amount]]&gt;1700,Table1[[#This Row],[ROAS]]&gt;7.8)</f>
        <v>0</v>
      </c>
      <c r="U2" s="2">
        <f>SUM(Q2:Q100)</f>
        <v>126645.27000000002</v>
      </c>
      <c r="W2" t="s">
        <v>145</v>
      </c>
      <c r="X2">
        <f>_xlfn.XLOOKUP(W2,L2:L100,Q2:Q100, "Not Found")</f>
        <v>1071.43</v>
      </c>
    </row>
    <row r="3" spans="2:24" x14ac:dyDescent="0.3">
      <c r="B3" s="1" t="s">
        <v>13</v>
      </c>
      <c r="C3" s="1">
        <v>173</v>
      </c>
      <c r="D3" s="1">
        <v>5107</v>
      </c>
      <c r="E3" s="2">
        <v>216.84</v>
      </c>
      <c r="F3" s="1">
        <v>10</v>
      </c>
      <c r="G3" s="1">
        <v>8</v>
      </c>
      <c r="H3" s="1">
        <v>4.5999999999999999E-2</v>
      </c>
      <c r="I3" s="3">
        <v>1679</v>
      </c>
      <c r="J3" s="3">
        <f>Table1[[#This Row],[Cost]]/Table1[[#This Row],[Conversions]]</f>
        <v>27.105</v>
      </c>
      <c r="K3" s="7" t="s">
        <v>14</v>
      </c>
      <c r="L3" s="1" t="s">
        <v>148</v>
      </c>
      <c r="M3" s="1" t="s">
        <v>15</v>
      </c>
      <c r="N3" s="12">
        <f>Table1[[#This Row],[Sale_Amount]]/Table1[[#This Row],[Cost]]</f>
        <v>7.7430363401586426</v>
      </c>
      <c r="O3" s="2">
        <f>Table1[[#This Row],[Cost]]/Table1[[#This Row],[Clicks]]</f>
        <v>1.2534104046242776</v>
      </c>
      <c r="P3" s="2">
        <f>Table1[[#This Row],[Cost]]/Table1[[#This Row],[Conversions]]</f>
        <v>27.105</v>
      </c>
      <c r="Q3" s="2">
        <f>Table1[[#This Row],[Sale_Amount]]-Table1[[#This Row],[Cost]]</f>
        <v>1462.16</v>
      </c>
      <c r="R3" s="1" t="str">
        <f>IF(Table1[[#This Row],[Sale_Amount]]&gt;1800,"YES","NO")</f>
        <v>NO</v>
      </c>
      <c r="S3" s="1" t="str">
        <f>IF(Table1[[#This Row],[ROAS]]&gt;7,"YES","NO")</f>
        <v>YES</v>
      </c>
      <c r="T3" s="1" t="b">
        <f>_xlfn.XOR(Table1[[#This Row],[Sale_Amount]]&gt;1700,Table1[[#This Row],[ROAS]]&gt;7.8)</f>
        <v>0</v>
      </c>
      <c r="U3" s="1"/>
    </row>
    <row r="4" spans="2:24" x14ac:dyDescent="0.3">
      <c r="B4" s="1" t="s">
        <v>16</v>
      </c>
      <c r="C4" s="1">
        <v>90</v>
      </c>
      <c r="D4" s="1">
        <v>4544</v>
      </c>
      <c r="E4" s="2">
        <v>203.66</v>
      </c>
      <c r="F4" s="1">
        <v>26</v>
      </c>
      <c r="G4" s="1">
        <v>9</v>
      </c>
      <c r="H4" s="1">
        <v>2.3E-2</v>
      </c>
      <c r="I4" s="3">
        <v>1624</v>
      </c>
      <c r="J4" s="3">
        <f>Table1[[#This Row],[Cost]]/Table1[[#This Row],[Conversions]]</f>
        <v>22.628888888888888</v>
      </c>
      <c r="K4" s="4">
        <v>45612</v>
      </c>
      <c r="L4" s="1" t="s">
        <v>142</v>
      </c>
      <c r="M4" s="1" t="s">
        <v>19</v>
      </c>
      <c r="N4" s="12">
        <f>Table1[[#This Row],[Sale_Amount]]/Table1[[#This Row],[Cost]]</f>
        <v>7.9740744377884711</v>
      </c>
      <c r="O4" s="2">
        <f>Table1[[#This Row],[Cost]]/Table1[[#This Row],[Clicks]]</f>
        <v>2.2628888888888889</v>
      </c>
      <c r="P4" s="2">
        <f>Table1[[#This Row],[Cost]]/Table1[[#This Row],[Conversions]]</f>
        <v>22.628888888888888</v>
      </c>
      <c r="Q4" s="2">
        <f>Table1[[#This Row],[Sale_Amount]]-Table1[[#This Row],[Cost]]</f>
        <v>1420.34</v>
      </c>
      <c r="R4" s="1" t="str">
        <f>IF(Table1[[#This Row],[Sale_Amount]]&gt;1800,"YES","NO")</f>
        <v>NO</v>
      </c>
      <c r="S4" s="1" t="str">
        <f>IF(Table1[[#This Row],[ROAS]]&gt;7,"YES","NO")</f>
        <v>YES</v>
      </c>
      <c r="T4" s="1" t="b">
        <f>_xlfn.XOR(Table1[[#This Row],[Sale_Amount]]&gt;1700,Table1[[#This Row],[ROAS]]&gt;7.8)</f>
        <v>1</v>
      </c>
      <c r="U4" s="1"/>
    </row>
    <row r="5" spans="2:24" x14ac:dyDescent="0.3">
      <c r="B5" s="1" t="s">
        <v>18</v>
      </c>
      <c r="C5" s="1">
        <v>142</v>
      </c>
      <c r="D5" s="1">
        <v>3185</v>
      </c>
      <c r="E5" s="2">
        <v>237.66</v>
      </c>
      <c r="F5" s="1">
        <v>17</v>
      </c>
      <c r="G5" s="1">
        <v>6</v>
      </c>
      <c r="H5" s="1">
        <v>3.4000000000000002E-2</v>
      </c>
      <c r="I5" s="3">
        <v>1225</v>
      </c>
      <c r="J5" s="3">
        <f>Table1[[#This Row],[Cost]]/Table1[[#This Row],[Conversions]]</f>
        <v>39.61</v>
      </c>
      <c r="K5" s="4">
        <v>45622</v>
      </c>
      <c r="L5" s="1" t="s">
        <v>143</v>
      </c>
      <c r="M5" s="1" t="s">
        <v>19</v>
      </c>
      <c r="N5" s="12">
        <f>Table1[[#This Row],[Sale_Amount]]/Table1[[#This Row],[Cost]]</f>
        <v>5.1544222839350331</v>
      </c>
      <c r="O5" s="2">
        <f>Table1[[#This Row],[Cost]]/Table1[[#This Row],[Clicks]]</f>
        <v>1.673661971830986</v>
      </c>
      <c r="P5" s="2">
        <f>Table1[[#This Row],[Cost]]/Table1[[#This Row],[Conversions]]</f>
        <v>39.61</v>
      </c>
      <c r="Q5" s="2">
        <f>Table1[[#This Row],[Sale_Amount]]-Table1[[#This Row],[Cost]]</f>
        <v>987.34</v>
      </c>
      <c r="R5" s="1" t="str">
        <f>IF(Table1[[#This Row],[Sale_Amount]]&gt;1800,"YES","NO")</f>
        <v>NO</v>
      </c>
      <c r="S5" s="1" t="str">
        <f>IF(Table1[[#This Row],[ROAS]]&gt;7,"YES","NO")</f>
        <v>NO</v>
      </c>
      <c r="T5" s="1" t="b">
        <f>_xlfn.XOR(Table1[[#This Row],[Sale_Amount]]&gt;1700,Table1[[#This Row],[ROAS]]&gt;7.8)</f>
        <v>0</v>
      </c>
      <c r="U5" s="1"/>
    </row>
    <row r="6" spans="2:24" x14ac:dyDescent="0.3">
      <c r="B6" s="1" t="s">
        <v>20</v>
      </c>
      <c r="C6" s="1">
        <v>156</v>
      </c>
      <c r="D6" s="1">
        <v>3361</v>
      </c>
      <c r="E6" s="2">
        <v>195.9</v>
      </c>
      <c r="F6" s="1">
        <v>30</v>
      </c>
      <c r="G6" s="1">
        <v>8</v>
      </c>
      <c r="H6" s="1">
        <v>3.0000000000000001E-3</v>
      </c>
      <c r="I6" s="3">
        <v>1091</v>
      </c>
      <c r="J6" s="3">
        <f>Table1[[#This Row],[Cost]]/Table1[[#This Row],[Conversions]]</f>
        <v>24.487500000000001</v>
      </c>
      <c r="K6" s="4">
        <v>45618</v>
      </c>
      <c r="L6" s="1" t="s">
        <v>144</v>
      </c>
      <c r="M6" s="1" t="s">
        <v>12</v>
      </c>
      <c r="N6" s="12">
        <f>Table1[[#This Row],[Sale_Amount]]/Table1[[#This Row],[Cost]]</f>
        <v>5.5691679428279732</v>
      </c>
      <c r="O6" s="2">
        <f>Table1[[#This Row],[Cost]]/Table1[[#This Row],[Clicks]]</f>
        <v>1.2557692307692307</v>
      </c>
      <c r="P6" s="2">
        <f>Table1[[#This Row],[Cost]]/Table1[[#This Row],[Conversions]]</f>
        <v>24.487500000000001</v>
      </c>
      <c r="Q6" s="2">
        <f>Table1[[#This Row],[Sale_Amount]]-Table1[[#This Row],[Cost]]</f>
        <v>895.1</v>
      </c>
      <c r="R6" s="1" t="str">
        <f>IF(Table1[[#This Row],[Sale_Amount]]&gt;1800,"YES","NO")</f>
        <v>NO</v>
      </c>
      <c r="S6" s="1" t="str">
        <f>IF(Table1[[#This Row],[ROAS]]&gt;7,"YES","NO")</f>
        <v>NO</v>
      </c>
      <c r="T6" s="1" t="b">
        <f>_xlfn.XOR(Table1[[#This Row],[Sale_Amount]]&gt;1700,Table1[[#This Row],[ROAS]]&gt;7.8)</f>
        <v>0</v>
      </c>
      <c r="U6" s="1"/>
    </row>
    <row r="7" spans="2:24" x14ac:dyDescent="0.3">
      <c r="B7" s="1" t="s">
        <v>21</v>
      </c>
      <c r="C7" s="1">
        <v>195</v>
      </c>
      <c r="D7" s="1">
        <v>3776</v>
      </c>
      <c r="E7" s="2">
        <v>243.57</v>
      </c>
      <c r="F7" s="1">
        <v>10</v>
      </c>
      <c r="G7" s="1">
        <v>8</v>
      </c>
      <c r="H7" s="1">
        <v>0.02</v>
      </c>
      <c r="I7" s="3">
        <v>1315</v>
      </c>
      <c r="J7" s="3">
        <f>Table1[[#This Row],[Cost]]/Table1[[#This Row],[Conversions]]</f>
        <v>30.446249999999999</v>
      </c>
      <c r="K7" s="7" t="s">
        <v>22</v>
      </c>
      <c r="L7" s="1" t="s">
        <v>145</v>
      </c>
      <c r="M7" s="1" t="s">
        <v>15</v>
      </c>
      <c r="N7" s="12">
        <f>Table1[[#This Row],[Sale_Amount]]/Table1[[#This Row],[Cost]]</f>
        <v>5.3988586443322246</v>
      </c>
      <c r="O7" s="2">
        <f>Table1[[#This Row],[Cost]]/Table1[[#This Row],[Clicks]]</f>
        <v>1.249076923076923</v>
      </c>
      <c r="P7" s="2">
        <f>Table1[[#This Row],[Cost]]/Table1[[#This Row],[Conversions]]</f>
        <v>30.446249999999999</v>
      </c>
      <c r="Q7" s="2">
        <f>Table1[[#This Row],[Sale_Amount]]-Table1[[#This Row],[Cost]]</f>
        <v>1071.43</v>
      </c>
      <c r="R7" s="1" t="str">
        <f>IF(Table1[[#This Row],[Sale_Amount]]&gt;1800,"YES","NO")</f>
        <v>NO</v>
      </c>
      <c r="S7" s="1" t="str">
        <f>IF(Table1[[#This Row],[ROAS]]&gt;7,"YES","NO")</f>
        <v>NO</v>
      </c>
      <c r="T7" s="1" t="b">
        <f>_xlfn.XOR(Table1[[#This Row],[Sale_Amount]]&gt;1700,Table1[[#This Row],[ROAS]]&gt;7.8)</f>
        <v>0</v>
      </c>
      <c r="U7" s="1"/>
    </row>
    <row r="8" spans="2:24" x14ac:dyDescent="0.3">
      <c r="B8" s="1" t="s">
        <v>23</v>
      </c>
      <c r="C8" s="1">
        <v>116</v>
      </c>
      <c r="D8" s="1">
        <v>4480</v>
      </c>
      <c r="E8" s="2">
        <v>237.79</v>
      </c>
      <c r="F8" s="1">
        <v>17</v>
      </c>
      <c r="G8" s="1">
        <v>5</v>
      </c>
      <c r="H8" s="1">
        <v>4.2999999999999997E-2</v>
      </c>
      <c r="I8" s="3">
        <v>1640</v>
      </c>
      <c r="J8" s="3">
        <f>Table1[[#This Row],[Cost]]/Table1[[#This Row],[Conversions]]</f>
        <v>47.558</v>
      </c>
      <c r="K8" s="4">
        <v>45454</v>
      </c>
      <c r="L8" s="1" t="s">
        <v>146</v>
      </c>
      <c r="M8" s="1" t="s">
        <v>19</v>
      </c>
      <c r="N8" s="12">
        <f>Table1[[#This Row],[Sale_Amount]]/Table1[[#This Row],[Cost]]</f>
        <v>6.896841751124942</v>
      </c>
      <c r="O8" s="2">
        <f>Table1[[#This Row],[Cost]]/Table1[[#This Row],[Clicks]]</f>
        <v>2.0499137931034483</v>
      </c>
      <c r="P8" s="2">
        <f>Table1[[#This Row],[Cost]]/Table1[[#This Row],[Conversions]]</f>
        <v>47.558</v>
      </c>
      <c r="Q8" s="2">
        <f>Table1[[#This Row],[Sale_Amount]]-Table1[[#This Row],[Cost]]</f>
        <v>1402.21</v>
      </c>
      <c r="R8" s="1" t="str">
        <f>IF(Table1[[#This Row],[Sale_Amount]]&gt;1800,"YES","NO")</f>
        <v>NO</v>
      </c>
      <c r="S8" s="1" t="str">
        <f>IF(Table1[[#This Row],[ROAS]]&gt;7,"YES","NO")</f>
        <v>NO</v>
      </c>
      <c r="T8" s="1" t="b">
        <f>_xlfn.XOR(Table1[[#This Row],[Sale_Amount]]&gt;1700,Table1[[#This Row],[ROAS]]&gt;7.8)</f>
        <v>0</v>
      </c>
      <c r="U8" s="1"/>
    </row>
    <row r="9" spans="2:24" x14ac:dyDescent="0.3">
      <c r="B9" s="1" t="s">
        <v>24</v>
      </c>
      <c r="C9" s="1">
        <v>184</v>
      </c>
      <c r="D9" s="1">
        <v>5060</v>
      </c>
      <c r="E9" s="2">
        <v>229.61</v>
      </c>
      <c r="F9" s="1">
        <v>23</v>
      </c>
      <c r="G9" s="1">
        <v>3</v>
      </c>
      <c r="H9" s="1">
        <v>1.6E-2</v>
      </c>
      <c r="I9" s="3">
        <v>1509</v>
      </c>
      <c r="J9" s="3">
        <f>Table1[[#This Row],[Cost]]/Table1[[#This Row],[Conversions]]</f>
        <v>76.536666666666676</v>
      </c>
      <c r="K9" s="4">
        <v>45620</v>
      </c>
      <c r="L9" s="1" t="s">
        <v>142</v>
      </c>
      <c r="M9" s="1" t="s">
        <v>19</v>
      </c>
      <c r="N9" s="12">
        <f>Table1[[#This Row],[Sale_Amount]]/Table1[[#This Row],[Cost]]</f>
        <v>6.57201341404991</v>
      </c>
      <c r="O9" s="2">
        <f>Table1[[#This Row],[Cost]]/Table1[[#This Row],[Clicks]]</f>
        <v>1.2478804347826087</v>
      </c>
      <c r="P9" s="2">
        <f>Table1[[#This Row],[Cost]]/Table1[[#This Row],[Conversions]]</f>
        <v>76.536666666666676</v>
      </c>
      <c r="Q9" s="2">
        <f>Table1[[#This Row],[Sale_Amount]]-Table1[[#This Row],[Cost]]</f>
        <v>1279.3899999999999</v>
      </c>
      <c r="R9" s="1" t="str">
        <f>IF(Table1[[#This Row],[Sale_Amount]]&gt;1800,"YES","NO")</f>
        <v>NO</v>
      </c>
      <c r="S9" s="1" t="str">
        <f>IF(Table1[[#This Row],[ROAS]]&gt;7,"YES","NO")</f>
        <v>NO</v>
      </c>
      <c r="T9" s="1" t="b">
        <f>_xlfn.XOR(Table1[[#This Row],[Sale_Amount]]&gt;1700,Table1[[#This Row],[ROAS]]&gt;7.8)</f>
        <v>0</v>
      </c>
      <c r="U9" s="1"/>
    </row>
    <row r="10" spans="2:24" x14ac:dyDescent="0.3">
      <c r="B10" s="1" t="s">
        <v>25</v>
      </c>
      <c r="C10" s="1">
        <v>113</v>
      </c>
      <c r="D10" s="1">
        <v>5434</v>
      </c>
      <c r="E10" s="5">
        <v>230</v>
      </c>
      <c r="F10" s="1">
        <v>27</v>
      </c>
      <c r="G10" s="1">
        <v>4</v>
      </c>
      <c r="H10" s="1">
        <v>5.8000000000000003E-2</v>
      </c>
      <c r="I10" s="3">
        <v>1362</v>
      </c>
      <c r="J10" s="3">
        <f>Table1[[#This Row],[Cost]]/Table1[[#This Row],[Conversions]]</f>
        <v>57.5</v>
      </c>
      <c r="K10" s="4">
        <v>45620</v>
      </c>
      <c r="L10" s="1" t="s">
        <v>147</v>
      </c>
      <c r="M10" s="1" t="s">
        <v>26</v>
      </c>
      <c r="N10" s="12">
        <f>Table1[[#This Row],[Sale_Amount]]/Table1[[#This Row],[Cost]]</f>
        <v>5.9217391304347826</v>
      </c>
      <c r="O10" s="2">
        <f>Table1[[#This Row],[Cost]]/Table1[[#This Row],[Clicks]]</f>
        <v>2.0353982300884956</v>
      </c>
      <c r="P10" s="2">
        <f>Table1[[#This Row],[Cost]]/Table1[[#This Row],[Conversions]]</f>
        <v>57.5</v>
      </c>
      <c r="Q10" s="2">
        <f>Table1[[#This Row],[Sale_Amount]]-Table1[[#This Row],[Cost]]</f>
        <v>1132</v>
      </c>
      <c r="R10" s="1" t="str">
        <f>IF(Table1[[#This Row],[Sale_Amount]]&gt;1800,"YES","NO")</f>
        <v>NO</v>
      </c>
      <c r="S10" s="1" t="str">
        <f>IF(Table1[[#This Row],[ROAS]]&gt;7,"YES","NO")</f>
        <v>NO</v>
      </c>
      <c r="T10" s="1" t="b">
        <f>_xlfn.XOR(Table1[[#This Row],[Sale_Amount]]&gt;1700,Table1[[#This Row],[ROAS]]&gt;7.8)</f>
        <v>0</v>
      </c>
      <c r="U10" s="1"/>
    </row>
    <row r="11" spans="2:24" x14ac:dyDescent="0.3">
      <c r="B11" s="1" t="s">
        <v>27</v>
      </c>
      <c r="C11" s="1">
        <v>166</v>
      </c>
      <c r="D11" s="1">
        <v>3355</v>
      </c>
      <c r="E11" s="2">
        <v>186.78</v>
      </c>
      <c r="F11" s="1">
        <v>24</v>
      </c>
      <c r="G11" s="1">
        <v>9</v>
      </c>
      <c r="H11" s="1">
        <v>5.3999999999999999E-2</v>
      </c>
      <c r="I11" s="3">
        <v>1029</v>
      </c>
      <c r="J11" s="3">
        <f>Table1[[#This Row],[Cost]]/Table1[[#This Row],[Conversions]]</f>
        <v>20.753333333333334</v>
      </c>
      <c r="K11" s="4">
        <v>45608</v>
      </c>
      <c r="L11" s="1" t="s">
        <v>148</v>
      </c>
      <c r="M11" s="1" t="s">
        <v>28</v>
      </c>
      <c r="N11" s="12">
        <f>Table1[[#This Row],[Sale_Amount]]/Table1[[#This Row],[Cost]]</f>
        <v>5.5091551557982656</v>
      </c>
      <c r="O11" s="2">
        <f>Table1[[#This Row],[Cost]]/Table1[[#This Row],[Clicks]]</f>
        <v>1.1251807228915662</v>
      </c>
      <c r="P11" s="2">
        <f>Table1[[#This Row],[Cost]]/Table1[[#This Row],[Conversions]]</f>
        <v>20.753333333333334</v>
      </c>
      <c r="Q11" s="2">
        <f>Table1[[#This Row],[Sale_Amount]]-Table1[[#This Row],[Cost]]</f>
        <v>842.22</v>
      </c>
      <c r="R11" s="1" t="str">
        <f>IF(Table1[[#This Row],[Sale_Amount]]&gt;1800,"YES","NO")</f>
        <v>NO</v>
      </c>
      <c r="S11" s="1" t="str">
        <f>IF(Table1[[#This Row],[ROAS]]&gt;7,"YES","NO")</f>
        <v>NO</v>
      </c>
      <c r="T11" s="1" t="b">
        <f>_xlfn.XOR(Table1[[#This Row],[Sale_Amount]]&gt;1700,Table1[[#This Row],[ROAS]]&gt;7.8)</f>
        <v>0</v>
      </c>
      <c r="U11" s="1"/>
    </row>
    <row r="12" spans="2:24" x14ac:dyDescent="0.3">
      <c r="B12" s="1" t="s">
        <v>29</v>
      </c>
      <c r="C12" s="1">
        <v>101</v>
      </c>
      <c r="D12" s="1">
        <v>5399</v>
      </c>
      <c r="E12" s="2">
        <v>236.79</v>
      </c>
      <c r="F12" s="1">
        <v>20</v>
      </c>
      <c r="G12" s="1">
        <v>6</v>
      </c>
      <c r="H12" s="1">
        <v>5.8999999999999997E-2</v>
      </c>
      <c r="I12" s="3">
        <v>1900</v>
      </c>
      <c r="J12" s="3">
        <f>Table1[[#This Row],[Cost]]/Table1[[#This Row],[Conversions]]</f>
        <v>39.464999999999996</v>
      </c>
      <c r="K12" s="7" t="s">
        <v>30</v>
      </c>
      <c r="L12" s="1" t="s">
        <v>149</v>
      </c>
      <c r="M12" s="1" t="s">
        <v>12</v>
      </c>
      <c r="N12" s="12">
        <f>Table1[[#This Row],[Sale_Amount]]/Table1[[#This Row],[Cost]]</f>
        <v>8.0239874994721063</v>
      </c>
      <c r="O12" s="2">
        <f>Table1[[#This Row],[Cost]]/Table1[[#This Row],[Clicks]]</f>
        <v>2.3444554455445545</v>
      </c>
      <c r="P12" s="2">
        <f>Table1[[#This Row],[Cost]]/Table1[[#This Row],[Conversions]]</f>
        <v>39.464999999999996</v>
      </c>
      <c r="Q12" s="2">
        <f>Table1[[#This Row],[Sale_Amount]]-Table1[[#This Row],[Cost]]</f>
        <v>1663.21</v>
      </c>
      <c r="R12" s="1" t="str">
        <f>IF(Table1[[#This Row],[Sale_Amount]]&gt;1800,"YES","NO")</f>
        <v>YES</v>
      </c>
      <c r="S12" s="1" t="str">
        <f>IF(Table1[[#This Row],[ROAS]]&gt;7,"YES","NO")</f>
        <v>YES</v>
      </c>
      <c r="T12" s="1" t="b">
        <f>_xlfn.XOR(Table1[[#This Row],[Sale_Amount]]&gt;1700,Table1[[#This Row],[ROAS]]&gt;7.8)</f>
        <v>0</v>
      </c>
      <c r="U12" s="1"/>
    </row>
    <row r="13" spans="2:24" x14ac:dyDescent="0.3">
      <c r="B13" s="1" t="s">
        <v>31</v>
      </c>
      <c r="C13" s="1">
        <v>101</v>
      </c>
      <c r="D13" s="1">
        <v>3613</v>
      </c>
      <c r="E13" s="2">
        <v>208.12</v>
      </c>
      <c r="F13" s="1">
        <v>24</v>
      </c>
      <c r="G13" s="1">
        <v>5</v>
      </c>
      <c r="H13" s="1">
        <v>0.05</v>
      </c>
      <c r="I13" s="3">
        <v>1130</v>
      </c>
      <c r="J13" s="3">
        <f>Table1[[#This Row],[Cost]]/Table1[[#This Row],[Conversions]]</f>
        <v>41.624000000000002</v>
      </c>
      <c r="K13" s="4">
        <v>45618</v>
      </c>
      <c r="L13" s="1" t="s">
        <v>150</v>
      </c>
      <c r="M13" s="1" t="s">
        <v>17</v>
      </c>
      <c r="N13" s="12">
        <f>Table1[[#This Row],[Sale_Amount]]/Table1[[#This Row],[Cost]]</f>
        <v>5.4295598693061695</v>
      </c>
      <c r="O13" s="2">
        <f>Table1[[#This Row],[Cost]]/Table1[[#This Row],[Clicks]]</f>
        <v>2.0605940594059406</v>
      </c>
      <c r="P13" s="2">
        <f>Table1[[#This Row],[Cost]]/Table1[[#This Row],[Conversions]]</f>
        <v>41.624000000000002</v>
      </c>
      <c r="Q13" s="2">
        <f>Table1[[#This Row],[Sale_Amount]]-Table1[[#This Row],[Cost]]</f>
        <v>921.88</v>
      </c>
      <c r="R13" s="1" t="str">
        <f>IF(Table1[[#This Row],[Sale_Amount]]&gt;1800,"YES","NO")</f>
        <v>NO</v>
      </c>
      <c r="S13" s="1" t="str">
        <f>IF(Table1[[#This Row],[ROAS]]&gt;7,"YES","NO")</f>
        <v>NO</v>
      </c>
      <c r="T13" s="1" t="b">
        <f>_xlfn.XOR(Table1[[#This Row],[Sale_Amount]]&gt;1700,Table1[[#This Row],[ROAS]]&gt;7.8)</f>
        <v>0</v>
      </c>
      <c r="U13" s="1"/>
    </row>
    <row r="14" spans="2:24" x14ac:dyDescent="0.3">
      <c r="B14" s="1" t="s">
        <v>32</v>
      </c>
      <c r="C14" s="1">
        <v>125</v>
      </c>
      <c r="D14" s="1">
        <v>3259</v>
      </c>
      <c r="E14" s="2">
        <v>191.3</v>
      </c>
      <c r="F14" s="1">
        <v>18</v>
      </c>
      <c r="G14" s="1">
        <v>3</v>
      </c>
      <c r="H14" s="1">
        <v>2.4E-2</v>
      </c>
      <c r="I14" s="3">
        <v>1959</v>
      </c>
      <c r="J14" s="3">
        <f>Table1[[#This Row],[Cost]]/Table1[[#This Row],[Conversions]]</f>
        <v>63.766666666666673</v>
      </c>
      <c r="K14" s="4">
        <v>45623</v>
      </c>
      <c r="L14" s="1" t="s">
        <v>151</v>
      </c>
      <c r="M14" s="1" t="s">
        <v>12</v>
      </c>
      <c r="N14" s="12">
        <f>Table1[[#This Row],[Sale_Amount]]/Table1[[#This Row],[Cost]]</f>
        <v>10.240460010454782</v>
      </c>
      <c r="O14" s="2">
        <f>Table1[[#This Row],[Cost]]/Table1[[#This Row],[Clicks]]</f>
        <v>1.5304</v>
      </c>
      <c r="P14" s="2">
        <f>Table1[[#This Row],[Cost]]/Table1[[#This Row],[Conversions]]</f>
        <v>63.766666666666673</v>
      </c>
      <c r="Q14" s="2">
        <f>Table1[[#This Row],[Sale_Amount]]-Table1[[#This Row],[Cost]]</f>
        <v>1767.7</v>
      </c>
      <c r="R14" s="1" t="str">
        <f>IF(Table1[[#This Row],[Sale_Amount]]&gt;1800,"YES","NO")</f>
        <v>YES</v>
      </c>
      <c r="S14" s="1" t="str">
        <f>IF(Table1[[#This Row],[ROAS]]&gt;7,"YES","NO")</f>
        <v>YES</v>
      </c>
      <c r="T14" s="1" t="b">
        <f>_xlfn.XOR(Table1[[#This Row],[Sale_Amount]]&gt;1700,Table1[[#This Row],[ROAS]]&gt;7.8)</f>
        <v>0</v>
      </c>
      <c r="U14" s="1"/>
    </row>
    <row r="15" spans="2:24" x14ac:dyDescent="0.3">
      <c r="B15" s="1" t="s">
        <v>33</v>
      </c>
      <c r="C15" s="1">
        <v>196</v>
      </c>
      <c r="D15" s="1">
        <v>3742</v>
      </c>
      <c r="E15" s="2">
        <v>207.46</v>
      </c>
      <c r="F15" s="1">
        <v>10</v>
      </c>
      <c r="G15" s="1">
        <v>7</v>
      </c>
      <c r="H15" s="1">
        <v>3.7999999999999999E-2</v>
      </c>
      <c r="I15" s="3">
        <v>1623</v>
      </c>
      <c r="J15" s="3">
        <f>Table1[[#This Row],[Cost]]/Table1[[#This Row],[Conversions]]</f>
        <v>29.637142857142859</v>
      </c>
      <c r="K15" s="4">
        <v>45637</v>
      </c>
      <c r="L15" s="1" t="s">
        <v>146</v>
      </c>
      <c r="M15" s="1" t="s">
        <v>15</v>
      </c>
      <c r="N15" s="12">
        <f>Table1[[#This Row],[Sale_Amount]]/Table1[[#This Row],[Cost]]</f>
        <v>7.8231948327388405</v>
      </c>
      <c r="O15" s="2">
        <f>Table1[[#This Row],[Cost]]/Table1[[#This Row],[Clicks]]</f>
        <v>1.0584693877551021</v>
      </c>
      <c r="P15" s="2">
        <f>Table1[[#This Row],[Cost]]/Table1[[#This Row],[Conversions]]</f>
        <v>29.637142857142859</v>
      </c>
      <c r="Q15" s="2">
        <f>Table1[[#This Row],[Sale_Amount]]-Table1[[#This Row],[Cost]]</f>
        <v>1415.54</v>
      </c>
      <c r="R15" s="1" t="str">
        <f>IF(Table1[[#This Row],[Sale_Amount]]&gt;1800,"YES","NO")</f>
        <v>NO</v>
      </c>
      <c r="S15" s="1" t="str">
        <f>IF(Table1[[#This Row],[ROAS]]&gt;7,"YES","NO")</f>
        <v>YES</v>
      </c>
      <c r="T15" s="1" t="b">
        <f>_xlfn.XOR(Table1[[#This Row],[Sale_Amount]]&gt;1700,Table1[[#This Row],[ROAS]]&gt;7.8)</f>
        <v>1</v>
      </c>
      <c r="U15" s="1"/>
    </row>
    <row r="16" spans="2:24" x14ac:dyDescent="0.3">
      <c r="B16" s="1" t="s">
        <v>34</v>
      </c>
      <c r="C16" s="1">
        <v>181</v>
      </c>
      <c r="D16" s="1">
        <v>4311</v>
      </c>
      <c r="E16" s="2">
        <v>185.09</v>
      </c>
      <c r="F16" s="1">
        <v>11</v>
      </c>
      <c r="G16" s="1">
        <v>9</v>
      </c>
      <c r="H16" s="1">
        <v>0.05</v>
      </c>
      <c r="I16" s="3">
        <v>1538</v>
      </c>
      <c r="J16" s="3">
        <f>Table1[[#This Row],[Cost]]/Table1[[#This Row],[Conversions]]</f>
        <v>20.565555555555555</v>
      </c>
      <c r="K16" s="4">
        <v>45600</v>
      </c>
      <c r="L16" s="1" t="s">
        <v>144</v>
      </c>
      <c r="M16" s="1" t="s">
        <v>17</v>
      </c>
      <c r="N16" s="12">
        <f>Table1[[#This Row],[Sale_Amount]]/Table1[[#This Row],[Cost]]</f>
        <v>8.3094710681290174</v>
      </c>
      <c r="O16" s="2">
        <f>Table1[[#This Row],[Cost]]/Table1[[#This Row],[Clicks]]</f>
        <v>1.0225966850828729</v>
      </c>
      <c r="P16" s="2">
        <f>Table1[[#This Row],[Cost]]/Table1[[#This Row],[Conversions]]</f>
        <v>20.565555555555555</v>
      </c>
      <c r="Q16" s="2">
        <f>Table1[[#This Row],[Sale_Amount]]-Table1[[#This Row],[Cost]]</f>
        <v>1352.91</v>
      </c>
      <c r="R16" s="1" t="str">
        <f>IF(Table1[[#This Row],[Sale_Amount]]&gt;1800,"YES","NO")</f>
        <v>NO</v>
      </c>
      <c r="S16" s="1" t="str">
        <f>IF(Table1[[#This Row],[ROAS]]&gt;7,"YES","NO")</f>
        <v>YES</v>
      </c>
      <c r="T16" s="1" t="b">
        <f>_xlfn.XOR(Table1[[#This Row],[Sale_Amount]]&gt;1700,Table1[[#This Row],[ROAS]]&gt;7.8)</f>
        <v>1</v>
      </c>
      <c r="U16" s="1"/>
    </row>
    <row r="17" spans="2:21" x14ac:dyDescent="0.3">
      <c r="B17" s="1" t="s">
        <v>35</v>
      </c>
      <c r="C17" s="1">
        <v>102</v>
      </c>
      <c r="D17" s="1">
        <v>5461</v>
      </c>
      <c r="E17" s="2">
        <v>201.69</v>
      </c>
      <c r="F17" s="1">
        <v>22</v>
      </c>
      <c r="G17" s="1">
        <v>8</v>
      </c>
      <c r="H17" s="1">
        <v>7.8E-2</v>
      </c>
      <c r="I17" s="3">
        <v>1755</v>
      </c>
      <c r="J17" s="3">
        <f>Table1[[#This Row],[Cost]]/Table1[[#This Row],[Conversions]]</f>
        <v>25.21125</v>
      </c>
      <c r="K17" s="4">
        <v>45625</v>
      </c>
      <c r="L17" s="1" t="s">
        <v>144</v>
      </c>
      <c r="M17" s="1" t="s">
        <v>12</v>
      </c>
      <c r="N17" s="12">
        <f>Table1[[#This Row],[Sale_Amount]]/Table1[[#This Row],[Cost]]</f>
        <v>8.7014725568942435</v>
      </c>
      <c r="O17" s="2">
        <f>Table1[[#This Row],[Cost]]/Table1[[#This Row],[Clicks]]</f>
        <v>1.9773529411764705</v>
      </c>
      <c r="P17" s="2">
        <f>Table1[[#This Row],[Cost]]/Table1[[#This Row],[Conversions]]</f>
        <v>25.21125</v>
      </c>
      <c r="Q17" s="2">
        <f>Table1[[#This Row],[Sale_Amount]]-Table1[[#This Row],[Cost]]</f>
        <v>1553.31</v>
      </c>
      <c r="R17" s="1" t="str">
        <f>IF(Table1[[#This Row],[Sale_Amount]]&gt;1800,"YES","NO")</f>
        <v>NO</v>
      </c>
      <c r="S17" s="1" t="str">
        <f>IF(Table1[[#This Row],[ROAS]]&gt;7,"YES","NO")</f>
        <v>YES</v>
      </c>
      <c r="T17" s="1" t="b">
        <f>_xlfn.XOR(Table1[[#This Row],[Sale_Amount]]&gt;1700,Table1[[#This Row],[ROAS]]&gt;7.8)</f>
        <v>0</v>
      </c>
      <c r="U17" s="1"/>
    </row>
    <row r="18" spans="2:21" x14ac:dyDescent="0.3">
      <c r="B18" s="1" t="s">
        <v>36</v>
      </c>
      <c r="C18" s="1">
        <v>193</v>
      </c>
      <c r="D18" s="1">
        <v>5159</v>
      </c>
      <c r="E18" s="5">
        <v>190</v>
      </c>
      <c r="F18" s="1">
        <v>15</v>
      </c>
      <c r="G18" s="1">
        <v>9</v>
      </c>
      <c r="H18" s="1">
        <v>4.7E-2</v>
      </c>
      <c r="I18" s="3">
        <v>1614</v>
      </c>
      <c r="J18" s="3">
        <f>Table1[[#This Row],[Cost]]/Table1[[#This Row],[Conversions]]</f>
        <v>21.111111111111111</v>
      </c>
      <c r="K18" s="4">
        <v>45606</v>
      </c>
      <c r="L18" s="1" t="s">
        <v>145</v>
      </c>
      <c r="M18" s="1" t="s">
        <v>28</v>
      </c>
      <c r="N18" s="12">
        <f>Table1[[#This Row],[Sale_Amount]]/Table1[[#This Row],[Cost]]</f>
        <v>8.4947368421052634</v>
      </c>
      <c r="O18" s="2">
        <f>Table1[[#This Row],[Cost]]/Table1[[#This Row],[Clicks]]</f>
        <v>0.98445595854922274</v>
      </c>
      <c r="P18" s="2">
        <f>Table1[[#This Row],[Cost]]/Table1[[#This Row],[Conversions]]</f>
        <v>21.111111111111111</v>
      </c>
      <c r="Q18" s="2">
        <f>Table1[[#This Row],[Sale_Amount]]-Table1[[#This Row],[Cost]]</f>
        <v>1424</v>
      </c>
      <c r="R18" s="1" t="str">
        <f>IF(Table1[[#This Row],[Sale_Amount]]&gt;1800,"YES","NO")</f>
        <v>NO</v>
      </c>
      <c r="S18" s="1" t="str">
        <f>IF(Table1[[#This Row],[ROAS]]&gt;7,"YES","NO")</f>
        <v>YES</v>
      </c>
      <c r="T18" s="1" t="b">
        <f>_xlfn.XOR(Table1[[#This Row],[Sale_Amount]]&gt;1700,Table1[[#This Row],[ROAS]]&gt;7.8)</f>
        <v>1</v>
      </c>
      <c r="U18" s="1"/>
    </row>
    <row r="19" spans="2:21" x14ac:dyDescent="0.3">
      <c r="B19" s="1" t="s">
        <v>37</v>
      </c>
      <c r="C19" s="1">
        <v>149</v>
      </c>
      <c r="D19" s="1">
        <v>4431</v>
      </c>
      <c r="E19" s="2">
        <v>207.4</v>
      </c>
      <c r="F19" s="1">
        <v>19</v>
      </c>
      <c r="G19" s="1">
        <v>9</v>
      </c>
      <c r="H19" s="1">
        <v>0.06</v>
      </c>
      <c r="I19" s="3">
        <v>1693</v>
      </c>
      <c r="J19" s="3">
        <f>Table1[[#This Row],[Cost]]/Table1[[#This Row],[Conversions]]</f>
        <v>23.044444444444444</v>
      </c>
      <c r="K19" s="4">
        <v>45637</v>
      </c>
      <c r="L19" s="1" t="s">
        <v>144</v>
      </c>
      <c r="M19" s="1" t="s">
        <v>15</v>
      </c>
      <c r="N19" s="12">
        <f>Table1[[#This Row],[Sale_Amount]]/Table1[[#This Row],[Cost]]</f>
        <v>8.1629701060752176</v>
      </c>
      <c r="O19" s="2">
        <f>Table1[[#This Row],[Cost]]/Table1[[#This Row],[Clicks]]</f>
        <v>1.3919463087248323</v>
      </c>
      <c r="P19" s="2">
        <f>Table1[[#This Row],[Cost]]/Table1[[#This Row],[Conversions]]</f>
        <v>23.044444444444444</v>
      </c>
      <c r="Q19" s="2">
        <f>Table1[[#This Row],[Sale_Amount]]-Table1[[#This Row],[Cost]]</f>
        <v>1485.6</v>
      </c>
      <c r="R19" s="1" t="str">
        <f>IF(Table1[[#This Row],[Sale_Amount]]&gt;1800,"YES","NO")</f>
        <v>NO</v>
      </c>
      <c r="S19" s="1" t="str">
        <f>IF(Table1[[#This Row],[ROAS]]&gt;7,"YES","NO")</f>
        <v>YES</v>
      </c>
      <c r="T19" s="1" t="b">
        <f>_xlfn.XOR(Table1[[#This Row],[Sale_Amount]]&gt;1700,Table1[[#This Row],[ROAS]]&gt;7.8)</f>
        <v>1</v>
      </c>
      <c r="U19" s="1"/>
    </row>
    <row r="20" spans="2:21" x14ac:dyDescent="0.3">
      <c r="B20" s="1" t="s">
        <v>38</v>
      </c>
      <c r="C20" s="1">
        <v>150</v>
      </c>
      <c r="D20" s="1">
        <v>3113</v>
      </c>
      <c r="E20" s="2">
        <v>217.41</v>
      </c>
      <c r="F20" s="1">
        <v>20</v>
      </c>
      <c r="G20" s="1">
        <v>5</v>
      </c>
      <c r="H20" s="1">
        <v>0.43</v>
      </c>
      <c r="I20" s="3">
        <v>1785</v>
      </c>
      <c r="J20" s="3">
        <f>Table1[[#This Row],[Cost]]/Table1[[#This Row],[Conversions]]</f>
        <v>43.481999999999999</v>
      </c>
      <c r="K20" s="4">
        <v>45603</v>
      </c>
      <c r="L20" s="1" t="s">
        <v>146</v>
      </c>
      <c r="M20" s="1" t="s">
        <v>28</v>
      </c>
      <c r="N20" s="12">
        <f>Table1[[#This Row],[Sale_Amount]]/Table1[[#This Row],[Cost]]</f>
        <v>8.2102939147233336</v>
      </c>
      <c r="O20" s="2">
        <f>Table1[[#This Row],[Cost]]/Table1[[#This Row],[Clicks]]</f>
        <v>1.4494</v>
      </c>
      <c r="P20" s="2">
        <f>Table1[[#This Row],[Cost]]/Table1[[#This Row],[Conversions]]</f>
        <v>43.481999999999999</v>
      </c>
      <c r="Q20" s="2">
        <f>Table1[[#This Row],[Sale_Amount]]-Table1[[#This Row],[Cost]]</f>
        <v>1567.59</v>
      </c>
      <c r="R20" s="1" t="str">
        <f>IF(Table1[[#This Row],[Sale_Amount]]&gt;1800,"YES","NO")</f>
        <v>NO</v>
      </c>
      <c r="S20" s="1" t="str">
        <f>IF(Table1[[#This Row],[ROAS]]&gt;7,"YES","NO")</f>
        <v>YES</v>
      </c>
      <c r="T20" s="1" t="b">
        <f>_xlfn.XOR(Table1[[#This Row],[Sale_Amount]]&gt;1700,Table1[[#This Row],[ROAS]]&gt;7.8)</f>
        <v>0</v>
      </c>
      <c r="U20" s="1"/>
    </row>
    <row r="21" spans="2:21" x14ac:dyDescent="0.3">
      <c r="B21" s="1" t="s">
        <v>39</v>
      </c>
      <c r="C21" s="1">
        <v>145</v>
      </c>
      <c r="D21" s="1">
        <v>5278</v>
      </c>
      <c r="E21" s="5">
        <v>220</v>
      </c>
      <c r="F21" s="1">
        <v>25</v>
      </c>
      <c r="G21" s="1">
        <v>6</v>
      </c>
      <c r="H21" s="1">
        <v>4.1000000000000002E-2</v>
      </c>
      <c r="I21" s="3">
        <v>1516</v>
      </c>
      <c r="J21" s="3">
        <f>Table1[[#This Row],[Cost]]/Table1[[#This Row],[Conversions]]</f>
        <v>36.666666666666664</v>
      </c>
      <c r="K21" s="4">
        <v>45601</v>
      </c>
      <c r="L21" s="1" t="s">
        <v>146</v>
      </c>
      <c r="M21" s="1" t="s">
        <v>12</v>
      </c>
      <c r="N21" s="12">
        <f>Table1[[#This Row],[Sale_Amount]]/Table1[[#This Row],[Cost]]</f>
        <v>6.8909090909090907</v>
      </c>
      <c r="O21" s="2">
        <f>Table1[[#This Row],[Cost]]/Table1[[#This Row],[Clicks]]</f>
        <v>1.5172413793103448</v>
      </c>
      <c r="P21" s="2">
        <f>Table1[[#This Row],[Cost]]/Table1[[#This Row],[Conversions]]</f>
        <v>36.666666666666664</v>
      </c>
      <c r="Q21" s="2">
        <f>Table1[[#This Row],[Sale_Amount]]-Table1[[#This Row],[Cost]]</f>
        <v>1296</v>
      </c>
      <c r="R21" s="1" t="str">
        <f>IF(Table1[[#This Row],[Sale_Amount]]&gt;1800,"YES","NO")</f>
        <v>NO</v>
      </c>
      <c r="S21" s="1" t="str">
        <f>IF(Table1[[#This Row],[ROAS]]&gt;7,"YES","NO")</f>
        <v>NO</v>
      </c>
      <c r="T21" s="1" t="b">
        <f>_xlfn.XOR(Table1[[#This Row],[Sale_Amount]]&gt;1700,Table1[[#This Row],[ROAS]]&gt;7.8)</f>
        <v>0</v>
      </c>
      <c r="U21" s="1"/>
    </row>
    <row r="22" spans="2:21" x14ac:dyDescent="0.3">
      <c r="B22" s="1" t="s">
        <v>40</v>
      </c>
      <c r="C22" s="1">
        <v>184</v>
      </c>
      <c r="D22" s="1">
        <v>4143</v>
      </c>
      <c r="E22" s="2">
        <v>223.3</v>
      </c>
      <c r="F22" s="1">
        <v>10</v>
      </c>
      <c r="G22" s="1">
        <v>10</v>
      </c>
      <c r="H22" s="1">
        <v>4.3999999999999997E-2</v>
      </c>
      <c r="I22" s="3">
        <v>1735</v>
      </c>
      <c r="J22" s="3">
        <f>Table1[[#This Row],[Cost]]/Table1[[#This Row],[Conversions]]</f>
        <v>22.330000000000002</v>
      </c>
      <c r="K22" s="4">
        <v>45617</v>
      </c>
      <c r="L22" s="1" t="s">
        <v>146</v>
      </c>
      <c r="M22" s="1" t="s">
        <v>19</v>
      </c>
      <c r="N22" s="12">
        <f>Table1[[#This Row],[Sale_Amount]]/Table1[[#This Row],[Cost]]</f>
        <v>7.7698163905060449</v>
      </c>
      <c r="O22" s="2">
        <f>Table1[[#This Row],[Cost]]/Table1[[#This Row],[Clicks]]</f>
        <v>1.2135869565217392</v>
      </c>
      <c r="P22" s="2">
        <f>Table1[[#This Row],[Cost]]/Table1[[#This Row],[Conversions]]</f>
        <v>22.330000000000002</v>
      </c>
      <c r="Q22" s="2">
        <f>Table1[[#This Row],[Sale_Amount]]-Table1[[#This Row],[Cost]]</f>
        <v>1511.7</v>
      </c>
      <c r="R22" s="1" t="str">
        <f>IF(Table1[[#This Row],[Sale_Amount]]&gt;1800,"YES","NO")</f>
        <v>NO</v>
      </c>
      <c r="S22" s="1" t="str">
        <f>IF(Table1[[#This Row],[ROAS]]&gt;7,"YES","NO")</f>
        <v>YES</v>
      </c>
      <c r="T22" s="1" t="b">
        <f>_xlfn.XOR(Table1[[#This Row],[Sale_Amount]]&gt;1700,Table1[[#This Row],[ROAS]]&gt;7.8)</f>
        <v>1</v>
      </c>
      <c r="U22" s="1"/>
    </row>
    <row r="23" spans="2:21" x14ac:dyDescent="0.3">
      <c r="B23" s="1" t="s">
        <v>41</v>
      </c>
      <c r="C23" s="1">
        <v>171</v>
      </c>
      <c r="D23" s="1">
        <v>4154</v>
      </c>
      <c r="E23" s="2">
        <v>184.23</v>
      </c>
      <c r="F23" s="1">
        <v>30</v>
      </c>
      <c r="G23" s="1">
        <v>7</v>
      </c>
      <c r="H23" s="1">
        <v>4.1000000000000002E-2</v>
      </c>
      <c r="I23" s="3">
        <v>1803</v>
      </c>
      <c r="J23" s="3">
        <f>Table1[[#This Row],[Cost]]/Table1[[#This Row],[Conversions]]</f>
        <v>26.318571428571428</v>
      </c>
      <c r="K23" s="4">
        <v>45604</v>
      </c>
      <c r="L23" s="1" t="s">
        <v>146</v>
      </c>
      <c r="M23" s="1" t="s">
        <v>19</v>
      </c>
      <c r="N23" s="12">
        <f>Table1[[#This Row],[Sale_Amount]]/Table1[[#This Row],[Cost]]</f>
        <v>9.7866796938609344</v>
      </c>
      <c r="O23" s="2">
        <f>Table1[[#This Row],[Cost]]/Table1[[#This Row],[Clicks]]</f>
        <v>1.0773684210526315</v>
      </c>
      <c r="P23" s="2">
        <f>Table1[[#This Row],[Cost]]/Table1[[#This Row],[Conversions]]</f>
        <v>26.318571428571428</v>
      </c>
      <c r="Q23" s="2">
        <f>Table1[[#This Row],[Sale_Amount]]-Table1[[#This Row],[Cost]]</f>
        <v>1618.77</v>
      </c>
      <c r="R23" s="1" t="str">
        <f>IF(Table1[[#This Row],[Sale_Amount]]&gt;1800,"YES","NO")</f>
        <v>YES</v>
      </c>
      <c r="S23" s="1" t="str">
        <f>IF(Table1[[#This Row],[ROAS]]&gt;7,"YES","NO")</f>
        <v>YES</v>
      </c>
      <c r="T23" s="1" t="b">
        <f>_xlfn.XOR(Table1[[#This Row],[Sale_Amount]]&gt;1700,Table1[[#This Row],[ROAS]]&gt;7.8)</f>
        <v>0</v>
      </c>
      <c r="U23" s="1"/>
    </row>
    <row r="24" spans="2:21" x14ac:dyDescent="0.3">
      <c r="B24" s="1" t="s">
        <v>42</v>
      </c>
      <c r="C24" s="1">
        <v>122</v>
      </c>
      <c r="D24" s="1">
        <v>5187</v>
      </c>
      <c r="E24" s="2">
        <v>211.24</v>
      </c>
      <c r="F24" s="1">
        <v>27</v>
      </c>
      <c r="G24" s="1">
        <v>6</v>
      </c>
      <c r="H24" s="1">
        <v>4.9000000000000002E-2</v>
      </c>
      <c r="I24" s="3">
        <v>1322</v>
      </c>
      <c r="J24" s="3">
        <f>Table1[[#This Row],[Cost]]/Table1[[#This Row],[Conversions]]</f>
        <v>35.206666666666671</v>
      </c>
      <c r="K24" s="4">
        <v>45616</v>
      </c>
      <c r="L24" s="1" t="s">
        <v>149</v>
      </c>
      <c r="M24" s="1" t="s">
        <v>17</v>
      </c>
      <c r="N24" s="12">
        <f>Table1[[#This Row],[Sale_Amount]]/Table1[[#This Row],[Cost]]</f>
        <v>6.2582844158303352</v>
      </c>
      <c r="O24" s="2">
        <f>Table1[[#This Row],[Cost]]/Table1[[#This Row],[Clicks]]</f>
        <v>1.7314754098360656</v>
      </c>
      <c r="P24" s="2">
        <f>Table1[[#This Row],[Cost]]/Table1[[#This Row],[Conversions]]</f>
        <v>35.206666666666671</v>
      </c>
      <c r="Q24" s="2">
        <f>Table1[[#This Row],[Sale_Amount]]-Table1[[#This Row],[Cost]]</f>
        <v>1110.76</v>
      </c>
      <c r="R24" s="1" t="str">
        <f>IF(Table1[[#This Row],[Sale_Amount]]&gt;1800,"YES","NO")</f>
        <v>NO</v>
      </c>
      <c r="S24" s="1" t="str">
        <f>IF(Table1[[#This Row],[ROAS]]&gt;7,"YES","NO")</f>
        <v>NO</v>
      </c>
      <c r="T24" s="1" t="b">
        <f>_xlfn.XOR(Table1[[#This Row],[Sale_Amount]]&gt;1700,Table1[[#This Row],[ROAS]]&gt;7.8)</f>
        <v>0</v>
      </c>
      <c r="U24" s="1"/>
    </row>
    <row r="25" spans="2:21" x14ac:dyDescent="0.3">
      <c r="B25" s="1" t="s">
        <v>43</v>
      </c>
      <c r="C25" s="1">
        <v>188</v>
      </c>
      <c r="D25" s="1">
        <v>5798</v>
      </c>
      <c r="E25" s="2">
        <v>230.17</v>
      </c>
      <c r="F25" s="1">
        <v>28</v>
      </c>
      <c r="G25" s="1">
        <v>5</v>
      </c>
      <c r="H25" s="1">
        <v>4.7E-2</v>
      </c>
      <c r="I25" s="3">
        <v>1452</v>
      </c>
      <c r="J25" s="3">
        <f>Table1[[#This Row],[Cost]]/Table1[[#This Row],[Conversions]]</f>
        <v>46.033999999999999</v>
      </c>
      <c r="K25" s="7" t="s">
        <v>44</v>
      </c>
      <c r="L25" s="1" t="s">
        <v>149</v>
      </c>
      <c r="M25" s="1" t="s">
        <v>19</v>
      </c>
      <c r="N25" s="12">
        <f>Table1[[#This Row],[Sale_Amount]]/Table1[[#This Row],[Cost]]</f>
        <v>6.3083807620454451</v>
      </c>
      <c r="O25" s="2">
        <f>Table1[[#This Row],[Cost]]/Table1[[#This Row],[Clicks]]</f>
        <v>1.2243085106382978</v>
      </c>
      <c r="P25" s="2">
        <f>Table1[[#This Row],[Cost]]/Table1[[#This Row],[Conversions]]</f>
        <v>46.033999999999999</v>
      </c>
      <c r="Q25" s="2">
        <f>Table1[[#This Row],[Sale_Amount]]-Table1[[#This Row],[Cost]]</f>
        <v>1221.83</v>
      </c>
      <c r="R25" s="1" t="str">
        <f>IF(Table1[[#This Row],[Sale_Amount]]&gt;1800,"YES","NO")</f>
        <v>NO</v>
      </c>
      <c r="S25" s="1" t="str">
        <f>IF(Table1[[#This Row],[ROAS]]&gt;7,"YES","NO")</f>
        <v>NO</v>
      </c>
      <c r="T25" s="1" t="b">
        <f>_xlfn.XOR(Table1[[#This Row],[Sale_Amount]]&gt;1700,Table1[[#This Row],[ROAS]]&gt;7.8)</f>
        <v>0</v>
      </c>
      <c r="U25" s="1"/>
    </row>
    <row r="26" spans="2:21" x14ac:dyDescent="0.3">
      <c r="B26" s="1" t="s">
        <v>45</v>
      </c>
      <c r="C26" s="1">
        <v>87</v>
      </c>
      <c r="D26" s="1">
        <v>3718</v>
      </c>
      <c r="E26" s="5">
        <v>120</v>
      </c>
      <c r="F26" s="1">
        <v>12</v>
      </c>
      <c r="G26" s="1">
        <v>3</v>
      </c>
      <c r="H26" s="1">
        <v>3.4000000000000002E-2</v>
      </c>
      <c r="I26" s="3">
        <v>1652</v>
      </c>
      <c r="J26" s="3">
        <f>Table1[[#This Row],[Cost]]/Table1[[#This Row],[Conversions]]</f>
        <v>40</v>
      </c>
      <c r="K26" s="7" t="s">
        <v>14</v>
      </c>
      <c r="L26" s="1" t="s">
        <v>149</v>
      </c>
      <c r="M26" s="1" t="s">
        <v>19</v>
      </c>
      <c r="N26" s="12">
        <f>Table1[[#This Row],[Sale_Amount]]/Table1[[#This Row],[Cost]]</f>
        <v>13.766666666666667</v>
      </c>
      <c r="O26" s="2">
        <f>Table1[[#This Row],[Cost]]/Table1[[#This Row],[Clicks]]</f>
        <v>1.3793103448275863</v>
      </c>
      <c r="P26" s="2">
        <f>Table1[[#This Row],[Cost]]/Table1[[#This Row],[Conversions]]</f>
        <v>40</v>
      </c>
      <c r="Q26" s="2">
        <f>Table1[[#This Row],[Sale_Amount]]-Table1[[#This Row],[Cost]]</f>
        <v>1532</v>
      </c>
      <c r="R26" s="1" t="str">
        <f>IF(Table1[[#This Row],[Sale_Amount]]&gt;1800,"YES","NO")</f>
        <v>NO</v>
      </c>
      <c r="S26" s="1" t="str">
        <f>IF(Table1[[#This Row],[ROAS]]&gt;7,"YES","NO")</f>
        <v>YES</v>
      </c>
      <c r="T26" s="1" t="b">
        <f>_xlfn.XOR(Table1[[#This Row],[Sale_Amount]]&gt;1700,Table1[[#This Row],[ROAS]]&gt;7.8)</f>
        <v>1</v>
      </c>
      <c r="U26" s="1"/>
    </row>
    <row r="27" spans="2:21" x14ac:dyDescent="0.3">
      <c r="B27" s="1" t="s">
        <v>46</v>
      </c>
      <c r="C27" s="1">
        <v>88</v>
      </c>
      <c r="D27" s="1">
        <v>3349</v>
      </c>
      <c r="E27" s="2">
        <v>181.92</v>
      </c>
      <c r="F27" s="1">
        <v>22</v>
      </c>
      <c r="G27" s="1">
        <v>8</v>
      </c>
      <c r="H27" s="1">
        <v>9.0999999999999998E-2</v>
      </c>
      <c r="I27" s="3">
        <v>1456</v>
      </c>
      <c r="J27" s="3">
        <f>Table1[[#This Row],[Cost]]/Table1[[#This Row],[Conversions]]</f>
        <v>22.74</v>
      </c>
      <c r="K27" s="4">
        <v>45616</v>
      </c>
      <c r="L27" s="1" t="s">
        <v>149</v>
      </c>
      <c r="M27" s="1" t="s">
        <v>26</v>
      </c>
      <c r="N27" s="12">
        <f>Table1[[#This Row],[Sale_Amount]]/Table1[[#This Row],[Cost]]</f>
        <v>8.0035180299032547</v>
      </c>
      <c r="O27" s="2">
        <f>Table1[[#This Row],[Cost]]/Table1[[#This Row],[Clicks]]</f>
        <v>2.0672727272727269</v>
      </c>
      <c r="P27" s="2">
        <f>Table1[[#This Row],[Cost]]/Table1[[#This Row],[Conversions]]</f>
        <v>22.74</v>
      </c>
      <c r="Q27" s="2">
        <f>Table1[[#This Row],[Sale_Amount]]-Table1[[#This Row],[Cost]]</f>
        <v>1274.08</v>
      </c>
      <c r="R27" s="1" t="str">
        <f>IF(Table1[[#This Row],[Sale_Amount]]&gt;1800,"YES","NO")</f>
        <v>NO</v>
      </c>
      <c r="S27" s="1" t="str">
        <f>IF(Table1[[#This Row],[ROAS]]&gt;7,"YES","NO")</f>
        <v>YES</v>
      </c>
      <c r="T27" s="1" t="b">
        <f>_xlfn.XOR(Table1[[#This Row],[Sale_Amount]]&gt;1700,Table1[[#This Row],[ROAS]]&gt;7.8)</f>
        <v>1</v>
      </c>
      <c r="U27" s="1"/>
    </row>
    <row r="28" spans="2:21" x14ac:dyDescent="0.3">
      <c r="B28" s="1" t="s">
        <v>47</v>
      </c>
      <c r="C28" s="1">
        <v>119</v>
      </c>
      <c r="D28" s="1">
        <v>5323</v>
      </c>
      <c r="E28" s="2">
        <v>205.92</v>
      </c>
      <c r="F28" s="1">
        <v>17</v>
      </c>
      <c r="G28" s="1">
        <v>10</v>
      </c>
      <c r="H28" s="1">
        <v>0.06</v>
      </c>
      <c r="I28" s="3">
        <v>1656</v>
      </c>
      <c r="J28" s="3">
        <f>Table1[[#This Row],[Cost]]/Table1[[#This Row],[Conversions]]</f>
        <v>20.591999999999999</v>
      </c>
      <c r="K28" s="4">
        <v>45598</v>
      </c>
      <c r="L28" s="1" t="s">
        <v>149</v>
      </c>
      <c r="M28" s="1" t="s">
        <v>12</v>
      </c>
      <c r="N28" s="12">
        <f>Table1[[#This Row],[Sale_Amount]]/Table1[[#This Row],[Cost]]</f>
        <v>8.0419580419580416</v>
      </c>
      <c r="O28" s="2">
        <f>Table1[[#This Row],[Cost]]/Table1[[#This Row],[Clicks]]</f>
        <v>1.7304201680672269</v>
      </c>
      <c r="P28" s="2">
        <f>Table1[[#This Row],[Cost]]/Table1[[#This Row],[Conversions]]</f>
        <v>20.591999999999999</v>
      </c>
      <c r="Q28" s="2">
        <f>Table1[[#This Row],[Sale_Amount]]-Table1[[#This Row],[Cost]]</f>
        <v>1450.08</v>
      </c>
      <c r="R28" s="1" t="str">
        <f>IF(Table1[[#This Row],[Sale_Amount]]&gt;1800,"YES","NO")</f>
        <v>NO</v>
      </c>
      <c r="S28" s="1" t="str">
        <f>IF(Table1[[#This Row],[ROAS]]&gt;7,"YES","NO")</f>
        <v>YES</v>
      </c>
      <c r="T28" s="1" t="b">
        <f>_xlfn.XOR(Table1[[#This Row],[Sale_Amount]]&gt;1700,Table1[[#This Row],[ROAS]]&gt;7.8)</f>
        <v>1</v>
      </c>
      <c r="U28" s="1"/>
    </row>
    <row r="29" spans="2:21" x14ac:dyDescent="0.3">
      <c r="B29" s="1" t="s">
        <v>48</v>
      </c>
      <c r="C29" s="1">
        <v>40</v>
      </c>
      <c r="D29" s="1">
        <v>5286</v>
      </c>
      <c r="E29" s="2">
        <v>234.89</v>
      </c>
      <c r="F29" s="1">
        <v>22</v>
      </c>
      <c r="G29" s="1">
        <v>10</v>
      </c>
      <c r="H29" s="1">
        <v>3.3999999999999998E-3</v>
      </c>
      <c r="I29" s="3">
        <v>1688</v>
      </c>
      <c r="J29" s="3">
        <f>Table1[[#This Row],[Cost]]/Table1[[#This Row],[Conversions]]</f>
        <v>23.488999999999997</v>
      </c>
      <c r="K29" s="4">
        <v>45617</v>
      </c>
      <c r="L29" s="1" t="s">
        <v>149</v>
      </c>
      <c r="M29" s="1" t="s">
        <v>12</v>
      </c>
      <c r="N29" s="12">
        <f>Table1[[#This Row],[Sale_Amount]]/Table1[[#This Row],[Cost]]</f>
        <v>7.1863425433181494</v>
      </c>
      <c r="O29" s="2">
        <f>Table1[[#This Row],[Cost]]/Table1[[#This Row],[Clicks]]</f>
        <v>5.8722499999999993</v>
      </c>
      <c r="P29" s="2">
        <f>Table1[[#This Row],[Cost]]/Table1[[#This Row],[Conversions]]</f>
        <v>23.488999999999997</v>
      </c>
      <c r="Q29" s="2">
        <f>Table1[[#This Row],[Sale_Amount]]-Table1[[#This Row],[Cost]]</f>
        <v>1453.1100000000001</v>
      </c>
      <c r="R29" s="1" t="str">
        <f>IF(Table1[[#This Row],[Sale_Amount]]&gt;1800,"YES","NO")</f>
        <v>NO</v>
      </c>
      <c r="S29" s="1" t="str">
        <f>IF(Table1[[#This Row],[ROAS]]&gt;7,"YES","NO")</f>
        <v>YES</v>
      </c>
      <c r="T29" s="1" t="b">
        <f>_xlfn.XOR(Table1[[#This Row],[Sale_Amount]]&gt;1700,Table1[[#This Row],[ROAS]]&gt;7.8)</f>
        <v>0</v>
      </c>
      <c r="U29" s="1"/>
    </row>
    <row r="30" spans="2:21" x14ac:dyDescent="0.3">
      <c r="B30" s="1" t="s">
        <v>49</v>
      </c>
      <c r="C30" s="1">
        <v>128</v>
      </c>
      <c r="D30" s="1">
        <v>5469</v>
      </c>
      <c r="E30" s="2">
        <v>188.49</v>
      </c>
      <c r="F30" s="1">
        <v>16</v>
      </c>
      <c r="G30" s="1">
        <v>3</v>
      </c>
      <c r="H30" s="1">
        <v>0.34</v>
      </c>
      <c r="I30" s="3">
        <v>1783</v>
      </c>
      <c r="J30" s="3">
        <f>Table1[[#This Row],[Cost]]/Table1[[#This Row],[Conversions]]</f>
        <v>62.830000000000005</v>
      </c>
      <c r="K30" s="4">
        <v>45619</v>
      </c>
      <c r="L30" s="1" t="s">
        <v>149</v>
      </c>
      <c r="M30" s="1" t="s">
        <v>15</v>
      </c>
      <c r="N30" s="12">
        <f>Table1[[#This Row],[Sale_Amount]]/Table1[[#This Row],[Cost]]</f>
        <v>9.4593877659292271</v>
      </c>
      <c r="O30" s="2">
        <f>Table1[[#This Row],[Cost]]/Table1[[#This Row],[Clicks]]</f>
        <v>1.4725781250000001</v>
      </c>
      <c r="P30" s="2">
        <f>Table1[[#This Row],[Cost]]/Table1[[#This Row],[Conversions]]</f>
        <v>62.830000000000005</v>
      </c>
      <c r="Q30" s="2">
        <f>Table1[[#This Row],[Sale_Amount]]-Table1[[#This Row],[Cost]]</f>
        <v>1594.51</v>
      </c>
      <c r="R30" s="1" t="str">
        <f>IF(Table1[[#This Row],[Sale_Amount]]&gt;1800,"YES","NO")</f>
        <v>NO</v>
      </c>
      <c r="S30" s="1" t="str">
        <f>IF(Table1[[#This Row],[ROAS]]&gt;7,"YES","NO")</f>
        <v>YES</v>
      </c>
      <c r="T30" s="1" t="b">
        <f>_xlfn.XOR(Table1[[#This Row],[Sale_Amount]]&gt;1700,Table1[[#This Row],[ROAS]]&gt;7.8)</f>
        <v>0</v>
      </c>
      <c r="U30" s="1"/>
    </row>
    <row r="31" spans="2:21" x14ac:dyDescent="0.3">
      <c r="B31" s="1" t="s">
        <v>50</v>
      </c>
      <c r="C31" s="1">
        <v>86</v>
      </c>
      <c r="D31" s="1">
        <v>3351</v>
      </c>
      <c r="E31" s="2">
        <v>237.75</v>
      </c>
      <c r="F31" s="1">
        <v>21</v>
      </c>
      <c r="G31" s="1">
        <v>9</v>
      </c>
      <c r="H31" s="1">
        <v>0.105</v>
      </c>
      <c r="I31" s="3">
        <v>1975</v>
      </c>
      <c r="J31" s="3">
        <f>Table1[[#This Row],[Cost]]/Table1[[#This Row],[Conversions]]</f>
        <v>26.416666666666668</v>
      </c>
      <c r="K31" s="4">
        <v>45609</v>
      </c>
      <c r="L31" s="1" t="s">
        <v>149</v>
      </c>
      <c r="M31" s="1" t="s">
        <v>28</v>
      </c>
      <c r="N31" s="12">
        <f>Table1[[#This Row],[Sale_Amount]]/Table1[[#This Row],[Cost]]</f>
        <v>8.3070452155625656</v>
      </c>
      <c r="O31" s="2">
        <f>Table1[[#This Row],[Cost]]/Table1[[#This Row],[Clicks]]</f>
        <v>2.76453488372093</v>
      </c>
      <c r="P31" s="2">
        <f>Table1[[#This Row],[Cost]]/Table1[[#This Row],[Conversions]]</f>
        <v>26.416666666666668</v>
      </c>
      <c r="Q31" s="2">
        <f>Table1[[#This Row],[Sale_Amount]]-Table1[[#This Row],[Cost]]</f>
        <v>1737.25</v>
      </c>
      <c r="R31" s="1" t="str">
        <f>IF(Table1[[#This Row],[Sale_Amount]]&gt;1800,"YES","NO")</f>
        <v>YES</v>
      </c>
      <c r="S31" s="1" t="str">
        <f>IF(Table1[[#This Row],[ROAS]]&gt;7,"YES","NO")</f>
        <v>YES</v>
      </c>
      <c r="T31" s="1" t="b">
        <f>_xlfn.XOR(Table1[[#This Row],[Sale_Amount]]&gt;1700,Table1[[#This Row],[ROAS]]&gt;7.8)</f>
        <v>0</v>
      </c>
      <c r="U31" s="1"/>
    </row>
    <row r="32" spans="2:21" x14ac:dyDescent="0.3">
      <c r="B32" s="1" t="s">
        <v>51</v>
      </c>
      <c r="C32" s="1">
        <v>188</v>
      </c>
      <c r="D32" s="1">
        <v>4834</v>
      </c>
      <c r="E32" s="2">
        <v>213.58</v>
      </c>
      <c r="F32" s="1">
        <v>15</v>
      </c>
      <c r="G32" s="1">
        <v>4</v>
      </c>
      <c r="H32" s="1">
        <v>2.1000000000000001E-2</v>
      </c>
      <c r="I32" s="3">
        <v>1590</v>
      </c>
      <c r="J32" s="3">
        <f>Table1[[#This Row],[Cost]]/Table1[[#This Row],[Conversions]]</f>
        <v>53.395000000000003</v>
      </c>
      <c r="K32" s="4">
        <v>45604</v>
      </c>
      <c r="L32" s="1" t="s">
        <v>149</v>
      </c>
      <c r="M32" s="1" t="s">
        <v>19</v>
      </c>
      <c r="N32" s="12">
        <f>Table1[[#This Row],[Sale_Amount]]/Table1[[#This Row],[Cost]]</f>
        <v>7.4445172768985852</v>
      </c>
      <c r="O32" s="2">
        <f>Table1[[#This Row],[Cost]]/Table1[[#This Row],[Clicks]]</f>
        <v>1.1360638297872341</v>
      </c>
      <c r="P32" s="2">
        <f>Table1[[#This Row],[Cost]]/Table1[[#This Row],[Conversions]]</f>
        <v>53.395000000000003</v>
      </c>
      <c r="Q32" s="2">
        <f>Table1[[#This Row],[Sale_Amount]]-Table1[[#This Row],[Cost]]</f>
        <v>1376.42</v>
      </c>
      <c r="R32" s="1" t="str">
        <f>IF(Table1[[#This Row],[Sale_Amount]]&gt;1800,"YES","NO")</f>
        <v>NO</v>
      </c>
      <c r="S32" s="1" t="str">
        <f>IF(Table1[[#This Row],[ROAS]]&gt;7,"YES","NO")</f>
        <v>YES</v>
      </c>
      <c r="T32" s="1" t="b">
        <f>_xlfn.XOR(Table1[[#This Row],[Sale_Amount]]&gt;1700,Table1[[#This Row],[ROAS]]&gt;7.8)</f>
        <v>0</v>
      </c>
      <c r="U32" s="1"/>
    </row>
    <row r="33" spans="2:21" x14ac:dyDescent="0.3">
      <c r="B33" s="1" t="s">
        <v>52</v>
      </c>
      <c r="C33" s="1">
        <v>113</v>
      </c>
      <c r="D33" s="1">
        <v>5065</v>
      </c>
      <c r="E33" s="2">
        <v>212.37</v>
      </c>
      <c r="F33" s="1">
        <v>11</v>
      </c>
      <c r="G33" s="1">
        <v>5</v>
      </c>
      <c r="H33" s="1">
        <v>3.4000000000000002E-2</v>
      </c>
      <c r="I33" s="3">
        <v>1111</v>
      </c>
      <c r="J33" s="3">
        <f>Table1[[#This Row],[Cost]]/Table1[[#This Row],[Conversions]]</f>
        <v>42.474000000000004</v>
      </c>
      <c r="K33" s="7" t="s">
        <v>53</v>
      </c>
      <c r="L33" s="1" t="s">
        <v>149</v>
      </c>
      <c r="M33" s="1" t="s">
        <v>17</v>
      </c>
      <c r="N33" s="12">
        <f>Table1[[#This Row],[Sale_Amount]]/Table1[[#This Row],[Cost]]</f>
        <v>5.2314357018411259</v>
      </c>
      <c r="O33" s="2">
        <f>Table1[[#This Row],[Cost]]/Table1[[#This Row],[Clicks]]</f>
        <v>1.8793805309734513</v>
      </c>
      <c r="P33" s="2">
        <f>Table1[[#This Row],[Cost]]/Table1[[#This Row],[Conversions]]</f>
        <v>42.474000000000004</v>
      </c>
      <c r="Q33" s="2">
        <f>Table1[[#This Row],[Sale_Amount]]-Table1[[#This Row],[Cost]]</f>
        <v>898.63</v>
      </c>
      <c r="R33" s="1" t="str">
        <f>IF(Table1[[#This Row],[Sale_Amount]]&gt;1800,"YES","NO")</f>
        <v>NO</v>
      </c>
      <c r="S33" s="1" t="str">
        <f>IF(Table1[[#This Row],[ROAS]]&gt;7,"YES","NO")</f>
        <v>NO</v>
      </c>
      <c r="T33" s="1" t="b">
        <f>_xlfn.XOR(Table1[[#This Row],[Sale_Amount]]&gt;1700,Table1[[#This Row],[ROAS]]&gt;7.8)</f>
        <v>0</v>
      </c>
      <c r="U33" s="1"/>
    </row>
    <row r="34" spans="2:21" x14ac:dyDescent="0.3">
      <c r="B34" s="1" t="s">
        <v>54</v>
      </c>
      <c r="C34" s="1">
        <v>90</v>
      </c>
      <c r="D34" s="1">
        <v>3872</v>
      </c>
      <c r="E34" s="2">
        <v>244.38</v>
      </c>
      <c r="F34" s="1">
        <v>20</v>
      </c>
      <c r="G34" s="1">
        <v>4</v>
      </c>
      <c r="H34" s="1">
        <v>4.3E-3</v>
      </c>
      <c r="I34" s="3">
        <v>1041</v>
      </c>
      <c r="J34" s="3">
        <f>Table1[[#This Row],[Cost]]/Table1[[#This Row],[Conversions]]</f>
        <v>61.094999999999999</v>
      </c>
      <c r="K34" s="4">
        <v>45637</v>
      </c>
      <c r="L34" s="1" t="s">
        <v>149</v>
      </c>
      <c r="M34" s="1" t="s">
        <v>19</v>
      </c>
      <c r="N34" s="12">
        <f>Table1[[#This Row],[Sale_Amount]]/Table1[[#This Row],[Cost]]</f>
        <v>4.259759391112202</v>
      </c>
      <c r="O34" s="2">
        <f>Table1[[#This Row],[Cost]]/Table1[[#This Row],[Clicks]]</f>
        <v>2.7153333333333332</v>
      </c>
      <c r="P34" s="2">
        <f>Table1[[#This Row],[Cost]]/Table1[[#This Row],[Conversions]]</f>
        <v>61.094999999999999</v>
      </c>
      <c r="Q34" s="2">
        <f>Table1[[#This Row],[Sale_Amount]]-Table1[[#This Row],[Cost]]</f>
        <v>796.62</v>
      </c>
      <c r="R34" s="1" t="str">
        <f>IF(Table1[[#This Row],[Sale_Amount]]&gt;1800,"YES","NO")</f>
        <v>NO</v>
      </c>
      <c r="S34" s="1" t="str">
        <f>IF(Table1[[#This Row],[ROAS]]&gt;7,"YES","NO")</f>
        <v>NO</v>
      </c>
      <c r="T34" s="1" t="b">
        <f>_xlfn.XOR(Table1[[#This Row],[Sale_Amount]]&gt;1700,Table1[[#This Row],[ROAS]]&gt;7.8)</f>
        <v>0</v>
      </c>
      <c r="U34" s="1"/>
    </row>
    <row r="35" spans="2:21" x14ac:dyDescent="0.3">
      <c r="B35" s="1" t="s">
        <v>55</v>
      </c>
      <c r="C35" s="1">
        <v>176</v>
      </c>
      <c r="D35" s="1">
        <v>5509</v>
      </c>
      <c r="E35" s="2">
        <v>234.59</v>
      </c>
      <c r="F35" s="1">
        <v>19</v>
      </c>
      <c r="G35" s="1">
        <v>7</v>
      </c>
      <c r="H35" s="1">
        <v>5.3999999999999999E-2</v>
      </c>
      <c r="I35" s="3">
        <v>1710</v>
      </c>
      <c r="J35" s="3">
        <f>Table1[[#This Row],[Cost]]/Table1[[#This Row],[Conversions]]</f>
        <v>33.512857142857143</v>
      </c>
      <c r="K35" s="4">
        <v>45599</v>
      </c>
      <c r="L35" s="1" t="s">
        <v>149</v>
      </c>
      <c r="M35" s="1" t="s">
        <v>26</v>
      </c>
      <c r="N35" s="12">
        <f>Table1[[#This Row],[Sale_Amount]]/Table1[[#This Row],[Cost]]</f>
        <v>7.2893132699603562</v>
      </c>
      <c r="O35" s="2">
        <f>Table1[[#This Row],[Cost]]/Table1[[#This Row],[Clicks]]</f>
        <v>1.3328977272727274</v>
      </c>
      <c r="P35" s="2">
        <f>Table1[[#This Row],[Cost]]/Table1[[#This Row],[Conversions]]</f>
        <v>33.512857142857143</v>
      </c>
      <c r="Q35" s="2">
        <f>Table1[[#This Row],[Sale_Amount]]-Table1[[#This Row],[Cost]]</f>
        <v>1475.41</v>
      </c>
      <c r="R35" s="1" t="str">
        <f>IF(Table1[[#This Row],[Sale_Amount]]&gt;1800,"YES","NO")</f>
        <v>NO</v>
      </c>
      <c r="S35" s="1" t="str">
        <f>IF(Table1[[#This Row],[ROAS]]&gt;7,"YES","NO")</f>
        <v>YES</v>
      </c>
      <c r="T35" s="1" t="b">
        <f>_xlfn.XOR(Table1[[#This Row],[Sale_Amount]]&gt;1700,Table1[[#This Row],[ROAS]]&gt;7.8)</f>
        <v>1</v>
      </c>
      <c r="U35" s="1"/>
    </row>
    <row r="36" spans="2:21" x14ac:dyDescent="0.3">
      <c r="B36" s="1" t="s">
        <v>56</v>
      </c>
      <c r="C36" s="1">
        <v>121</v>
      </c>
      <c r="D36" s="1">
        <v>5610</v>
      </c>
      <c r="E36" s="2">
        <v>214.96</v>
      </c>
      <c r="F36" s="1">
        <v>23</v>
      </c>
      <c r="G36" s="1">
        <v>8</v>
      </c>
      <c r="H36" s="1">
        <v>4.0000000000000001E-3</v>
      </c>
      <c r="I36" s="1"/>
      <c r="J36" s="3">
        <f>Table1[[#This Row],[Cost]]/Table1[[#This Row],[Conversions]]</f>
        <v>26.87</v>
      </c>
      <c r="K36" s="4">
        <v>45621</v>
      </c>
      <c r="L36" s="1" t="s">
        <v>149</v>
      </c>
      <c r="M36" s="1" t="s">
        <v>28</v>
      </c>
      <c r="N36" s="12">
        <f>Table1[[#This Row],[Sale_Amount]]/Table1[[#This Row],[Cost]]</f>
        <v>0</v>
      </c>
      <c r="O36" s="2">
        <f>Table1[[#This Row],[Cost]]/Table1[[#This Row],[Clicks]]</f>
        <v>1.7765289256198349</v>
      </c>
      <c r="P36" s="2">
        <f>Table1[[#This Row],[Cost]]/Table1[[#This Row],[Conversions]]</f>
        <v>26.87</v>
      </c>
      <c r="Q36" s="2">
        <f>Table1[[#This Row],[Sale_Amount]]-Table1[[#This Row],[Cost]]</f>
        <v>-214.96</v>
      </c>
      <c r="R36" s="1" t="str">
        <f>IF(Table1[[#This Row],[Sale_Amount]]&gt;1800,"YES","NO")</f>
        <v>NO</v>
      </c>
      <c r="S36" s="1" t="str">
        <f>IF(Table1[[#This Row],[ROAS]]&gt;7,"YES","NO")</f>
        <v>NO</v>
      </c>
      <c r="T36" s="1" t="b">
        <f>_xlfn.XOR(Table1[[#This Row],[Sale_Amount]]&gt;1700,Table1[[#This Row],[ROAS]]&gt;7.8)</f>
        <v>0</v>
      </c>
      <c r="U36" s="1"/>
    </row>
    <row r="37" spans="2:21" x14ac:dyDescent="0.3">
      <c r="B37" s="1" t="s">
        <v>57</v>
      </c>
      <c r="C37" s="1">
        <v>104</v>
      </c>
      <c r="D37" s="1">
        <v>5275</v>
      </c>
      <c r="E37" s="2">
        <v>236.48</v>
      </c>
      <c r="F37" s="1">
        <v>16</v>
      </c>
      <c r="G37" s="1">
        <v>9</v>
      </c>
      <c r="H37" s="1">
        <v>3.1E-2</v>
      </c>
      <c r="I37" s="3">
        <v>1824</v>
      </c>
      <c r="J37" s="3">
        <f>Table1[[#This Row],[Cost]]/Table1[[#This Row],[Conversions]]</f>
        <v>26.275555555555556</v>
      </c>
      <c r="K37" s="4">
        <v>45302</v>
      </c>
      <c r="L37" s="1" t="s">
        <v>149</v>
      </c>
      <c r="M37" s="1" t="s">
        <v>12</v>
      </c>
      <c r="N37" s="12">
        <f>Table1[[#This Row],[Sale_Amount]]/Table1[[#This Row],[Cost]]</f>
        <v>7.7131258457374834</v>
      </c>
      <c r="O37" s="2">
        <f>Table1[[#This Row],[Cost]]/Table1[[#This Row],[Clicks]]</f>
        <v>2.2738461538461539</v>
      </c>
      <c r="P37" s="2">
        <f>Table1[[#This Row],[Cost]]/Table1[[#This Row],[Conversions]]</f>
        <v>26.275555555555556</v>
      </c>
      <c r="Q37" s="2">
        <f>Table1[[#This Row],[Sale_Amount]]-Table1[[#This Row],[Cost]]</f>
        <v>1587.52</v>
      </c>
      <c r="R37" s="1" t="str">
        <f>IF(Table1[[#This Row],[Sale_Amount]]&gt;1800,"YES","NO")</f>
        <v>YES</v>
      </c>
      <c r="S37" s="1" t="str">
        <f>IF(Table1[[#This Row],[ROAS]]&gt;7,"YES","NO")</f>
        <v>YES</v>
      </c>
      <c r="T37" s="1" t="b">
        <f>_xlfn.XOR(Table1[[#This Row],[Sale_Amount]]&gt;1700,Table1[[#This Row],[ROAS]]&gt;7.8)</f>
        <v>1</v>
      </c>
      <c r="U37" s="1"/>
    </row>
    <row r="38" spans="2:21" x14ac:dyDescent="0.3">
      <c r="B38" s="1" t="s">
        <v>58</v>
      </c>
      <c r="C38" s="1">
        <v>146</v>
      </c>
      <c r="D38" s="1">
        <v>5939</v>
      </c>
      <c r="E38" s="2">
        <v>242.9</v>
      </c>
      <c r="F38" s="1">
        <v>11</v>
      </c>
      <c r="G38" s="1">
        <v>8</v>
      </c>
      <c r="H38" s="1">
        <v>3.5000000000000003E-2</v>
      </c>
      <c r="I38" s="3">
        <v>1833</v>
      </c>
      <c r="J38" s="3">
        <f>Table1[[#This Row],[Cost]]/Table1[[#This Row],[Conversions]]</f>
        <v>30.362500000000001</v>
      </c>
      <c r="K38" s="4">
        <v>45603</v>
      </c>
      <c r="L38" s="1" t="s">
        <v>149</v>
      </c>
      <c r="M38" s="1" t="s">
        <v>17</v>
      </c>
      <c r="N38" s="12">
        <f>Table1[[#This Row],[Sale_Amount]]/Table1[[#This Row],[Cost]]</f>
        <v>7.5463153561136265</v>
      </c>
      <c r="O38" s="2">
        <f>Table1[[#This Row],[Cost]]/Table1[[#This Row],[Clicks]]</f>
        <v>1.6636986301369863</v>
      </c>
      <c r="P38" s="2">
        <f>Table1[[#This Row],[Cost]]/Table1[[#This Row],[Conversions]]</f>
        <v>30.362500000000001</v>
      </c>
      <c r="Q38" s="2">
        <f>Table1[[#This Row],[Sale_Amount]]-Table1[[#This Row],[Cost]]</f>
        <v>1590.1</v>
      </c>
      <c r="R38" s="1" t="str">
        <f>IF(Table1[[#This Row],[Sale_Amount]]&gt;1800,"YES","NO")</f>
        <v>YES</v>
      </c>
      <c r="S38" s="1" t="str">
        <f>IF(Table1[[#This Row],[ROAS]]&gt;7,"YES","NO")</f>
        <v>YES</v>
      </c>
      <c r="T38" s="1" t="b">
        <f>_xlfn.XOR(Table1[[#This Row],[Sale_Amount]]&gt;1700,Table1[[#This Row],[ROAS]]&gt;7.8)</f>
        <v>1</v>
      </c>
      <c r="U38" s="1"/>
    </row>
    <row r="39" spans="2:21" x14ac:dyDescent="0.3">
      <c r="B39" s="1" t="s">
        <v>59</v>
      </c>
      <c r="C39" s="1">
        <v>123</v>
      </c>
      <c r="D39" s="1">
        <v>5131</v>
      </c>
      <c r="E39" s="5">
        <v>211</v>
      </c>
      <c r="F39" s="1">
        <v>19</v>
      </c>
      <c r="G39" s="1">
        <v>5</v>
      </c>
      <c r="H39" s="1">
        <v>4.1000000000000002E-2</v>
      </c>
      <c r="I39" s="3">
        <v>1307</v>
      </c>
      <c r="J39" s="3">
        <f>Table1[[#This Row],[Cost]]/Table1[[#This Row],[Conversions]]</f>
        <v>42.2</v>
      </c>
      <c r="K39" s="4">
        <v>45546</v>
      </c>
      <c r="L39" s="1" t="s">
        <v>149</v>
      </c>
      <c r="M39" s="1" t="s">
        <v>15</v>
      </c>
      <c r="N39" s="12">
        <f>Table1[[#This Row],[Sale_Amount]]/Table1[[#This Row],[Cost]]</f>
        <v>6.1943127962085311</v>
      </c>
      <c r="O39" s="2">
        <f>Table1[[#This Row],[Cost]]/Table1[[#This Row],[Clicks]]</f>
        <v>1.7154471544715446</v>
      </c>
      <c r="P39" s="2">
        <f>Table1[[#This Row],[Cost]]/Table1[[#This Row],[Conversions]]</f>
        <v>42.2</v>
      </c>
      <c r="Q39" s="2">
        <f>Table1[[#This Row],[Sale_Amount]]-Table1[[#This Row],[Cost]]</f>
        <v>1096</v>
      </c>
      <c r="R39" s="1" t="str">
        <f>IF(Table1[[#This Row],[Sale_Amount]]&gt;1800,"YES","NO")</f>
        <v>NO</v>
      </c>
      <c r="S39" s="1" t="str">
        <f>IF(Table1[[#This Row],[ROAS]]&gt;7,"YES","NO")</f>
        <v>NO</v>
      </c>
      <c r="T39" s="1" t="b">
        <f>_xlfn.XOR(Table1[[#This Row],[Sale_Amount]]&gt;1700,Table1[[#This Row],[ROAS]]&gt;7.8)</f>
        <v>0</v>
      </c>
      <c r="U39" s="1"/>
    </row>
    <row r="40" spans="2:21" x14ac:dyDescent="0.3">
      <c r="B40" s="1" t="s">
        <v>60</v>
      </c>
      <c r="C40" s="1">
        <v>90</v>
      </c>
      <c r="D40" s="1">
        <v>5786</v>
      </c>
      <c r="E40" s="2">
        <v>197.55</v>
      </c>
      <c r="F40" s="1">
        <v>11</v>
      </c>
      <c r="G40" s="1">
        <v>6</v>
      </c>
      <c r="H40" s="1">
        <v>4.2999999999999997E-2</v>
      </c>
      <c r="I40" s="3">
        <v>1704</v>
      </c>
      <c r="J40" s="3">
        <f>Table1[[#This Row],[Cost]]/Table1[[#This Row],[Conversions]]</f>
        <v>32.925000000000004</v>
      </c>
      <c r="K40" s="7" t="s">
        <v>22</v>
      </c>
      <c r="L40" s="1" t="s">
        <v>149</v>
      </c>
      <c r="M40" s="1" t="s">
        <v>15</v>
      </c>
      <c r="N40" s="12">
        <f>Table1[[#This Row],[Sale_Amount]]/Table1[[#This Row],[Cost]]</f>
        <v>8.6256643887623383</v>
      </c>
      <c r="O40" s="2">
        <f>Table1[[#This Row],[Cost]]/Table1[[#This Row],[Clicks]]</f>
        <v>2.1950000000000003</v>
      </c>
      <c r="P40" s="2">
        <f>Table1[[#This Row],[Cost]]/Table1[[#This Row],[Conversions]]</f>
        <v>32.925000000000004</v>
      </c>
      <c r="Q40" s="2">
        <f>Table1[[#This Row],[Sale_Amount]]-Table1[[#This Row],[Cost]]</f>
        <v>1506.45</v>
      </c>
      <c r="R40" s="1" t="str">
        <f>IF(Table1[[#This Row],[Sale_Amount]]&gt;1800,"YES","NO")</f>
        <v>NO</v>
      </c>
      <c r="S40" s="1" t="str">
        <f>IF(Table1[[#This Row],[ROAS]]&gt;7,"YES","NO")</f>
        <v>YES</v>
      </c>
      <c r="T40" s="1" t="b">
        <f>_xlfn.XOR(Table1[[#This Row],[Sale_Amount]]&gt;1700,Table1[[#This Row],[ROAS]]&gt;7.8)</f>
        <v>0</v>
      </c>
      <c r="U40" s="1"/>
    </row>
    <row r="41" spans="2:21" x14ac:dyDescent="0.3">
      <c r="B41" s="1" t="s">
        <v>61</v>
      </c>
      <c r="C41" s="1">
        <v>171</v>
      </c>
      <c r="D41" s="1">
        <v>4304</v>
      </c>
      <c r="E41" s="2">
        <v>192.61</v>
      </c>
      <c r="F41" s="1">
        <v>17</v>
      </c>
      <c r="G41" s="1">
        <v>10</v>
      </c>
      <c r="H41" s="1">
        <v>5.8000000000000003E-2</v>
      </c>
      <c r="I41" s="3">
        <v>1427</v>
      </c>
      <c r="J41" s="3">
        <f>Table1[[#This Row],[Cost]]/Table1[[#This Row],[Conversions]]</f>
        <v>19.261000000000003</v>
      </c>
      <c r="K41" s="4">
        <v>45622</v>
      </c>
      <c r="L41" s="1" t="s">
        <v>149</v>
      </c>
      <c r="M41" s="1" t="s">
        <v>28</v>
      </c>
      <c r="N41" s="12">
        <f>Table1[[#This Row],[Sale_Amount]]/Table1[[#This Row],[Cost]]</f>
        <v>7.4087534395929593</v>
      </c>
      <c r="O41" s="2">
        <f>Table1[[#This Row],[Cost]]/Table1[[#This Row],[Clicks]]</f>
        <v>1.126374269005848</v>
      </c>
      <c r="P41" s="2">
        <f>Table1[[#This Row],[Cost]]/Table1[[#This Row],[Conversions]]</f>
        <v>19.261000000000003</v>
      </c>
      <c r="Q41" s="2">
        <f>Table1[[#This Row],[Sale_Amount]]-Table1[[#This Row],[Cost]]</f>
        <v>1234.3899999999999</v>
      </c>
      <c r="R41" s="1" t="str">
        <f>IF(Table1[[#This Row],[Sale_Amount]]&gt;1800,"YES","NO")</f>
        <v>NO</v>
      </c>
      <c r="S41" s="1" t="str">
        <f>IF(Table1[[#This Row],[ROAS]]&gt;7,"YES","NO")</f>
        <v>YES</v>
      </c>
      <c r="T41" s="1" t="b">
        <f>_xlfn.XOR(Table1[[#This Row],[Sale_Amount]]&gt;1700,Table1[[#This Row],[ROAS]]&gt;7.8)</f>
        <v>0</v>
      </c>
      <c r="U41" s="1"/>
    </row>
    <row r="42" spans="2:21" x14ac:dyDescent="0.3">
      <c r="B42" s="1" t="s">
        <v>62</v>
      </c>
      <c r="C42" s="1">
        <v>94</v>
      </c>
      <c r="D42" s="1">
        <v>5549</v>
      </c>
      <c r="E42" s="2">
        <v>231.23</v>
      </c>
      <c r="F42" s="1">
        <v>25</v>
      </c>
      <c r="G42" s="1">
        <v>9</v>
      </c>
      <c r="H42" s="1">
        <v>9.6000000000000002E-2</v>
      </c>
      <c r="I42" s="3">
        <v>1849</v>
      </c>
      <c r="J42" s="3">
        <f>Table1[[#This Row],[Cost]]/Table1[[#This Row],[Conversions]]</f>
        <v>25.69222222222222</v>
      </c>
      <c r="K42" s="4">
        <v>45608</v>
      </c>
      <c r="L42" s="1" t="s">
        <v>149</v>
      </c>
      <c r="M42" s="1" t="s">
        <v>15</v>
      </c>
      <c r="N42" s="12">
        <f>Table1[[#This Row],[Sale_Amount]]/Table1[[#This Row],[Cost]]</f>
        <v>7.9963672533840766</v>
      </c>
      <c r="O42" s="2">
        <f>Table1[[#This Row],[Cost]]/Table1[[#This Row],[Clicks]]</f>
        <v>2.4598936170212764</v>
      </c>
      <c r="P42" s="2">
        <f>Table1[[#This Row],[Cost]]/Table1[[#This Row],[Conversions]]</f>
        <v>25.69222222222222</v>
      </c>
      <c r="Q42" s="2">
        <f>Table1[[#This Row],[Sale_Amount]]-Table1[[#This Row],[Cost]]</f>
        <v>1617.77</v>
      </c>
      <c r="R42" s="1" t="str">
        <f>IF(Table1[[#This Row],[Sale_Amount]]&gt;1800,"YES","NO")</f>
        <v>YES</v>
      </c>
      <c r="S42" s="1" t="str">
        <f>IF(Table1[[#This Row],[ROAS]]&gt;7,"YES","NO")</f>
        <v>YES</v>
      </c>
      <c r="T42" s="1" t="b">
        <f>_xlfn.XOR(Table1[[#This Row],[Sale_Amount]]&gt;1700,Table1[[#This Row],[ROAS]]&gt;7.8)</f>
        <v>0</v>
      </c>
      <c r="U42" s="1"/>
    </row>
    <row r="43" spans="2:21" x14ac:dyDescent="0.3">
      <c r="B43" s="1" t="s">
        <v>63</v>
      </c>
      <c r="C43" s="1">
        <v>112</v>
      </c>
      <c r="D43" s="1">
        <v>4271</v>
      </c>
      <c r="E43" s="2">
        <v>196.07</v>
      </c>
      <c r="F43" s="1">
        <v>27</v>
      </c>
      <c r="G43" s="1">
        <v>6</v>
      </c>
      <c r="H43" s="1">
        <v>3.0000000000000001E-3</v>
      </c>
      <c r="I43" s="3">
        <v>1209</v>
      </c>
      <c r="J43" s="3">
        <f>Table1[[#This Row],[Cost]]/Table1[[#This Row],[Conversions]]</f>
        <v>32.678333333333335</v>
      </c>
      <c r="K43" s="4">
        <v>45610</v>
      </c>
      <c r="L43" s="1" t="s">
        <v>146</v>
      </c>
      <c r="M43" s="1" t="s">
        <v>12</v>
      </c>
      <c r="N43" s="12">
        <f>Table1[[#This Row],[Sale_Amount]]/Table1[[#This Row],[Cost]]</f>
        <v>6.1661651451012398</v>
      </c>
      <c r="O43" s="2">
        <f>Table1[[#This Row],[Cost]]/Table1[[#This Row],[Clicks]]</f>
        <v>1.7506249999999999</v>
      </c>
      <c r="P43" s="2">
        <f>Table1[[#This Row],[Cost]]/Table1[[#This Row],[Conversions]]</f>
        <v>32.678333333333335</v>
      </c>
      <c r="Q43" s="2">
        <f>Table1[[#This Row],[Sale_Amount]]-Table1[[#This Row],[Cost]]</f>
        <v>1012.9300000000001</v>
      </c>
      <c r="R43" s="1" t="str">
        <f>IF(Table1[[#This Row],[Sale_Amount]]&gt;1800,"YES","NO")</f>
        <v>NO</v>
      </c>
      <c r="S43" s="1" t="str">
        <f>IF(Table1[[#This Row],[ROAS]]&gt;7,"YES","NO")</f>
        <v>NO</v>
      </c>
      <c r="T43" s="1" t="b">
        <f>_xlfn.XOR(Table1[[#This Row],[Sale_Amount]]&gt;1700,Table1[[#This Row],[ROAS]]&gt;7.8)</f>
        <v>0</v>
      </c>
      <c r="U43" s="1"/>
    </row>
    <row r="44" spans="2:21" x14ac:dyDescent="0.3">
      <c r="B44" s="1" t="s">
        <v>64</v>
      </c>
      <c r="C44" s="1">
        <v>113</v>
      </c>
      <c r="D44" s="1">
        <v>4418</v>
      </c>
      <c r="E44" s="2">
        <v>191.55</v>
      </c>
      <c r="F44" s="1">
        <v>27</v>
      </c>
      <c r="G44" s="1">
        <v>10</v>
      </c>
      <c r="H44" s="1">
        <v>4.3E-3</v>
      </c>
      <c r="I44" s="3">
        <v>1634</v>
      </c>
      <c r="J44" s="3">
        <f>Table1[[#This Row],[Cost]]/Table1[[#This Row],[Conversions]]</f>
        <v>19.155000000000001</v>
      </c>
      <c r="K44" s="4">
        <v>45605</v>
      </c>
      <c r="L44" s="1" t="s">
        <v>146</v>
      </c>
      <c r="M44" s="1" t="s">
        <v>15</v>
      </c>
      <c r="N44" s="12">
        <f>Table1[[#This Row],[Sale_Amount]]/Table1[[#This Row],[Cost]]</f>
        <v>8.5304098146697989</v>
      </c>
      <c r="O44" s="2">
        <f>Table1[[#This Row],[Cost]]/Table1[[#This Row],[Clicks]]</f>
        <v>1.695132743362832</v>
      </c>
      <c r="P44" s="2">
        <f>Table1[[#This Row],[Cost]]/Table1[[#This Row],[Conversions]]</f>
        <v>19.155000000000001</v>
      </c>
      <c r="Q44" s="2">
        <f>Table1[[#This Row],[Sale_Amount]]-Table1[[#This Row],[Cost]]</f>
        <v>1442.45</v>
      </c>
      <c r="R44" s="1" t="str">
        <f>IF(Table1[[#This Row],[Sale_Amount]]&gt;1800,"YES","NO")</f>
        <v>NO</v>
      </c>
      <c r="S44" s="1" t="str">
        <f>IF(Table1[[#This Row],[ROAS]]&gt;7,"YES","NO")</f>
        <v>YES</v>
      </c>
      <c r="T44" s="1" t="b">
        <f>_xlfn.XOR(Table1[[#This Row],[Sale_Amount]]&gt;1700,Table1[[#This Row],[ROAS]]&gt;7.8)</f>
        <v>1</v>
      </c>
      <c r="U44" s="1"/>
    </row>
    <row r="45" spans="2:21" x14ac:dyDescent="0.3">
      <c r="B45" s="1" t="s">
        <v>65</v>
      </c>
      <c r="C45" s="1">
        <v>145</v>
      </c>
      <c r="D45" s="1">
        <v>3721</v>
      </c>
      <c r="E45" s="2">
        <v>180.95</v>
      </c>
      <c r="F45" s="1">
        <v>21</v>
      </c>
      <c r="G45" s="1">
        <v>7</v>
      </c>
      <c r="H45" s="1">
        <v>4.8000000000000001E-2</v>
      </c>
      <c r="I45" s="3">
        <v>1960</v>
      </c>
      <c r="J45" s="3">
        <f>Table1[[#This Row],[Cost]]/Table1[[#This Row],[Conversions]]</f>
        <v>25.849999999999998</v>
      </c>
      <c r="K45" s="7" t="s">
        <v>66</v>
      </c>
      <c r="L45" s="1" t="s">
        <v>146</v>
      </c>
      <c r="M45" s="1" t="s">
        <v>12</v>
      </c>
      <c r="N45" s="12">
        <f>Table1[[#This Row],[Sale_Amount]]/Table1[[#This Row],[Cost]]</f>
        <v>10.831721470019342</v>
      </c>
      <c r="O45" s="2">
        <f>Table1[[#This Row],[Cost]]/Table1[[#This Row],[Clicks]]</f>
        <v>1.2479310344827585</v>
      </c>
      <c r="P45" s="2">
        <f>Table1[[#This Row],[Cost]]/Table1[[#This Row],[Conversions]]</f>
        <v>25.849999999999998</v>
      </c>
      <c r="Q45" s="2">
        <f>Table1[[#This Row],[Sale_Amount]]-Table1[[#This Row],[Cost]]</f>
        <v>1779.05</v>
      </c>
      <c r="R45" s="1" t="str">
        <f>IF(Table1[[#This Row],[Sale_Amount]]&gt;1800,"YES","NO")</f>
        <v>YES</v>
      </c>
      <c r="S45" s="1" t="str">
        <f>IF(Table1[[#This Row],[ROAS]]&gt;7,"YES","NO")</f>
        <v>YES</v>
      </c>
      <c r="T45" s="1" t="b">
        <f>_xlfn.XOR(Table1[[#This Row],[Sale_Amount]]&gt;1700,Table1[[#This Row],[ROAS]]&gt;7.8)</f>
        <v>0</v>
      </c>
      <c r="U45" s="1"/>
    </row>
    <row r="46" spans="2:21" x14ac:dyDescent="0.3">
      <c r="B46" s="1" t="s">
        <v>67</v>
      </c>
      <c r="C46" s="1">
        <v>197</v>
      </c>
      <c r="D46" s="1">
        <v>5783</v>
      </c>
      <c r="E46" s="2">
        <v>204.46</v>
      </c>
      <c r="F46" s="1">
        <v>23</v>
      </c>
      <c r="G46" s="1">
        <v>6</v>
      </c>
      <c r="H46" s="1">
        <v>3.4000000000000002E-2</v>
      </c>
      <c r="I46" s="3">
        <v>1729</v>
      </c>
      <c r="J46" s="3">
        <f>Table1[[#This Row],[Cost]]/Table1[[#This Row],[Conversions]]</f>
        <v>34.076666666666668</v>
      </c>
      <c r="K46" s="4">
        <v>45302</v>
      </c>
      <c r="L46" s="1" t="s">
        <v>146</v>
      </c>
      <c r="M46" s="1" t="s">
        <v>19</v>
      </c>
      <c r="N46" s="12">
        <f>Table1[[#This Row],[Sale_Amount]]/Table1[[#This Row],[Cost]]</f>
        <v>8.4564217939939343</v>
      </c>
      <c r="O46" s="2">
        <f>Table1[[#This Row],[Cost]]/Table1[[#This Row],[Clicks]]</f>
        <v>1.0378680203045685</v>
      </c>
      <c r="P46" s="2">
        <f>Table1[[#This Row],[Cost]]/Table1[[#This Row],[Conversions]]</f>
        <v>34.076666666666668</v>
      </c>
      <c r="Q46" s="2">
        <f>Table1[[#This Row],[Sale_Amount]]-Table1[[#This Row],[Cost]]</f>
        <v>1524.54</v>
      </c>
      <c r="R46" s="1" t="str">
        <f>IF(Table1[[#This Row],[Sale_Amount]]&gt;1800,"YES","NO")</f>
        <v>NO</v>
      </c>
      <c r="S46" s="1" t="str">
        <f>IF(Table1[[#This Row],[ROAS]]&gt;7,"YES","NO")</f>
        <v>YES</v>
      </c>
      <c r="T46" s="1" t="b">
        <f>_xlfn.XOR(Table1[[#This Row],[Sale_Amount]]&gt;1700,Table1[[#This Row],[ROAS]]&gt;7.8)</f>
        <v>0</v>
      </c>
      <c r="U46" s="1"/>
    </row>
    <row r="47" spans="2:21" x14ac:dyDescent="0.3">
      <c r="B47" s="1" t="s">
        <v>68</v>
      </c>
      <c r="C47" s="1">
        <v>109</v>
      </c>
      <c r="D47" s="1">
        <v>4866</v>
      </c>
      <c r="E47" s="2">
        <v>236.78</v>
      </c>
      <c r="F47" s="1">
        <v>27</v>
      </c>
      <c r="G47" s="1">
        <v>5</v>
      </c>
      <c r="H47" s="1">
        <v>4.2999999999999997E-2</v>
      </c>
      <c r="I47" s="3">
        <v>1585</v>
      </c>
      <c r="J47" s="3">
        <f>Table1[[#This Row],[Cost]]/Table1[[#This Row],[Conversions]]</f>
        <v>47.356000000000002</v>
      </c>
      <c r="K47" s="7" t="s">
        <v>69</v>
      </c>
      <c r="L47" s="1" t="s">
        <v>146</v>
      </c>
      <c r="M47" s="1" t="s">
        <v>28</v>
      </c>
      <c r="N47" s="12">
        <f>Table1[[#This Row],[Sale_Amount]]/Table1[[#This Row],[Cost]]</f>
        <v>6.693977531886139</v>
      </c>
      <c r="O47" s="2">
        <f>Table1[[#This Row],[Cost]]/Table1[[#This Row],[Clicks]]</f>
        <v>2.1722935779816512</v>
      </c>
      <c r="P47" s="2">
        <f>Table1[[#This Row],[Cost]]/Table1[[#This Row],[Conversions]]</f>
        <v>47.356000000000002</v>
      </c>
      <c r="Q47" s="2">
        <f>Table1[[#This Row],[Sale_Amount]]-Table1[[#This Row],[Cost]]</f>
        <v>1348.22</v>
      </c>
      <c r="R47" s="1" t="str">
        <f>IF(Table1[[#This Row],[Sale_Amount]]&gt;1800,"YES","NO")</f>
        <v>NO</v>
      </c>
      <c r="S47" s="1" t="str">
        <f>IF(Table1[[#This Row],[ROAS]]&gt;7,"YES","NO")</f>
        <v>NO</v>
      </c>
      <c r="T47" s="1" t="b">
        <f>_xlfn.XOR(Table1[[#This Row],[Sale_Amount]]&gt;1700,Table1[[#This Row],[ROAS]]&gt;7.8)</f>
        <v>0</v>
      </c>
      <c r="U47" s="1"/>
    </row>
    <row r="48" spans="2:21" x14ac:dyDescent="0.3">
      <c r="B48" s="1" t="s">
        <v>70</v>
      </c>
      <c r="C48" s="1">
        <v>188</v>
      </c>
      <c r="D48" s="1">
        <v>5857</v>
      </c>
      <c r="E48" s="2">
        <v>222.98</v>
      </c>
      <c r="F48" s="1">
        <v>20</v>
      </c>
      <c r="G48" s="1">
        <v>4</v>
      </c>
      <c r="H48" s="1">
        <v>4.8000000000000001E-2</v>
      </c>
      <c r="I48" s="3">
        <v>1303</v>
      </c>
      <c r="J48" s="3">
        <f>Table1[[#This Row],[Cost]]/Table1[[#This Row],[Conversions]]</f>
        <v>55.744999999999997</v>
      </c>
      <c r="K48" s="4">
        <v>45607</v>
      </c>
      <c r="L48" s="1" t="s">
        <v>146</v>
      </c>
      <c r="M48" s="1" t="s">
        <v>12</v>
      </c>
      <c r="N48" s="12">
        <f>Table1[[#This Row],[Sale_Amount]]/Table1[[#This Row],[Cost]]</f>
        <v>5.8435734146560234</v>
      </c>
      <c r="O48" s="2">
        <f>Table1[[#This Row],[Cost]]/Table1[[#This Row],[Clicks]]</f>
        <v>1.1860638297872339</v>
      </c>
      <c r="P48" s="2">
        <f>Table1[[#This Row],[Cost]]/Table1[[#This Row],[Conversions]]</f>
        <v>55.744999999999997</v>
      </c>
      <c r="Q48" s="2">
        <f>Table1[[#This Row],[Sale_Amount]]-Table1[[#This Row],[Cost]]</f>
        <v>1080.02</v>
      </c>
      <c r="R48" s="1" t="str">
        <f>IF(Table1[[#This Row],[Sale_Amount]]&gt;1800,"YES","NO")</f>
        <v>NO</v>
      </c>
      <c r="S48" s="1" t="str">
        <f>IF(Table1[[#This Row],[ROAS]]&gt;7,"YES","NO")</f>
        <v>NO</v>
      </c>
      <c r="T48" s="1" t="b">
        <f>_xlfn.XOR(Table1[[#This Row],[Sale_Amount]]&gt;1700,Table1[[#This Row],[ROAS]]&gt;7.8)</f>
        <v>0</v>
      </c>
      <c r="U48" s="1"/>
    </row>
    <row r="49" spans="2:21" x14ac:dyDescent="0.3">
      <c r="B49" s="1" t="s">
        <v>71</v>
      </c>
      <c r="C49" s="1">
        <v>142</v>
      </c>
      <c r="D49" s="1">
        <v>5103</v>
      </c>
      <c r="E49" s="2">
        <v>234.1</v>
      </c>
      <c r="F49" s="1">
        <v>24</v>
      </c>
      <c r="G49" s="1">
        <v>3</v>
      </c>
      <c r="H49" s="1">
        <v>2.1000000000000001E-2</v>
      </c>
      <c r="I49" s="3">
        <v>1835</v>
      </c>
      <c r="J49" s="3">
        <f>Table1[[#This Row],[Cost]]/Table1[[#This Row],[Conversions]]</f>
        <v>78.033333333333331</v>
      </c>
      <c r="K49" s="4">
        <v>45604</v>
      </c>
      <c r="L49" s="1" t="s">
        <v>143</v>
      </c>
      <c r="M49" s="1" t="s">
        <v>15</v>
      </c>
      <c r="N49" s="12">
        <f>Table1[[#This Row],[Sale_Amount]]/Table1[[#This Row],[Cost]]</f>
        <v>7.8385305425032037</v>
      </c>
      <c r="O49" s="2">
        <f>Table1[[#This Row],[Cost]]/Table1[[#This Row],[Clicks]]</f>
        <v>1.6485915492957746</v>
      </c>
      <c r="P49" s="2">
        <f>Table1[[#This Row],[Cost]]/Table1[[#This Row],[Conversions]]</f>
        <v>78.033333333333331</v>
      </c>
      <c r="Q49" s="2">
        <f>Table1[[#This Row],[Sale_Amount]]-Table1[[#This Row],[Cost]]</f>
        <v>1600.9</v>
      </c>
      <c r="R49" s="1" t="str">
        <f>IF(Table1[[#This Row],[Sale_Amount]]&gt;1800,"YES","NO")</f>
        <v>YES</v>
      </c>
      <c r="S49" s="1" t="str">
        <f>IF(Table1[[#This Row],[ROAS]]&gt;7,"YES","NO")</f>
        <v>YES</v>
      </c>
      <c r="T49" s="1" t="b">
        <f>_xlfn.XOR(Table1[[#This Row],[Sale_Amount]]&gt;1700,Table1[[#This Row],[ROAS]]&gt;7.8)</f>
        <v>0</v>
      </c>
      <c r="U49" s="1"/>
    </row>
    <row r="50" spans="2:21" x14ac:dyDescent="0.3">
      <c r="B50" s="1" t="s">
        <v>72</v>
      </c>
      <c r="C50" s="1">
        <v>168</v>
      </c>
      <c r="D50" s="1">
        <v>4653</v>
      </c>
      <c r="E50" s="2">
        <v>240.84</v>
      </c>
      <c r="F50" s="1">
        <v>27</v>
      </c>
      <c r="G50" s="1">
        <v>9</v>
      </c>
      <c r="H50" s="1">
        <v>5.3999999999999999E-2</v>
      </c>
      <c r="I50" s="3">
        <v>1367</v>
      </c>
      <c r="J50" s="3">
        <f>Table1[[#This Row],[Cost]]/Table1[[#This Row],[Conversions]]</f>
        <v>26.76</v>
      </c>
      <c r="K50" s="4">
        <v>45620</v>
      </c>
      <c r="L50" s="1" t="s">
        <v>143</v>
      </c>
      <c r="M50" s="1" t="s">
        <v>28</v>
      </c>
      <c r="N50" s="12">
        <f>Table1[[#This Row],[Sale_Amount]]/Table1[[#This Row],[Cost]]</f>
        <v>5.6759674472678956</v>
      </c>
      <c r="O50" s="2">
        <f>Table1[[#This Row],[Cost]]/Table1[[#This Row],[Clicks]]</f>
        <v>1.4335714285714285</v>
      </c>
      <c r="P50" s="2">
        <f>Table1[[#This Row],[Cost]]/Table1[[#This Row],[Conversions]]</f>
        <v>26.76</v>
      </c>
      <c r="Q50" s="2">
        <f>Table1[[#This Row],[Sale_Amount]]-Table1[[#This Row],[Cost]]</f>
        <v>1126.1600000000001</v>
      </c>
      <c r="R50" s="1" t="str">
        <f>IF(Table1[[#This Row],[Sale_Amount]]&gt;1800,"YES","NO")</f>
        <v>NO</v>
      </c>
      <c r="S50" s="1" t="str">
        <f>IF(Table1[[#This Row],[ROAS]]&gt;7,"YES","NO")</f>
        <v>NO</v>
      </c>
      <c r="T50" s="1" t="b">
        <f>_xlfn.XOR(Table1[[#This Row],[Sale_Amount]]&gt;1700,Table1[[#This Row],[ROAS]]&gt;7.8)</f>
        <v>0</v>
      </c>
      <c r="U50" s="1"/>
    </row>
    <row r="51" spans="2:21" x14ac:dyDescent="0.3">
      <c r="B51" s="1" t="s">
        <v>73</v>
      </c>
      <c r="C51" s="1">
        <v>110</v>
      </c>
      <c r="D51" s="1">
        <v>3524</v>
      </c>
      <c r="E51" s="2">
        <v>248.86</v>
      </c>
      <c r="F51" s="1">
        <v>19</v>
      </c>
      <c r="G51" s="1">
        <v>10</v>
      </c>
      <c r="H51" s="1">
        <v>9.0999999999999998E-2</v>
      </c>
      <c r="I51" s="3">
        <v>1524</v>
      </c>
      <c r="J51" s="3">
        <f>Table1[[#This Row],[Cost]]/Table1[[#This Row],[Conversions]]</f>
        <v>24.886000000000003</v>
      </c>
      <c r="K51" s="7" t="s">
        <v>74</v>
      </c>
      <c r="L51" s="1" t="s">
        <v>143</v>
      </c>
      <c r="M51" s="1" t="s">
        <v>15</v>
      </c>
      <c r="N51" s="12">
        <f>Table1[[#This Row],[Sale_Amount]]/Table1[[#This Row],[Cost]]</f>
        <v>6.1239250984489271</v>
      </c>
      <c r="O51" s="2">
        <f>Table1[[#This Row],[Cost]]/Table1[[#This Row],[Clicks]]</f>
        <v>2.2623636363636366</v>
      </c>
      <c r="P51" s="2">
        <f>Table1[[#This Row],[Cost]]/Table1[[#This Row],[Conversions]]</f>
        <v>24.886000000000003</v>
      </c>
      <c r="Q51" s="2">
        <f>Table1[[#This Row],[Sale_Amount]]-Table1[[#This Row],[Cost]]</f>
        <v>1275.1399999999999</v>
      </c>
      <c r="R51" s="1" t="str">
        <f>IF(Table1[[#This Row],[Sale_Amount]]&gt;1800,"YES","NO")</f>
        <v>NO</v>
      </c>
      <c r="S51" s="1" t="str">
        <f>IF(Table1[[#This Row],[ROAS]]&gt;7,"YES","NO")</f>
        <v>NO</v>
      </c>
      <c r="T51" s="1" t="b">
        <f>_xlfn.XOR(Table1[[#This Row],[Sale_Amount]]&gt;1700,Table1[[#This Row],[ROAS]]&gt;7.8)</f>
        <v>0</v>
      </c>
      <c r="U51" s="1"/>
    </row>
    <row r="52" spans="2:21" x14ac:dyDescent="0.3">
      <c r="B52" s="1" t="s">
        <v>75</v>
      </c>
      <c r="C52" s="1">
        <v>192</v>
      </c>
      <c r="D52" s="1">
        <v>5938</v>
      </c>
      <c r="E52" s="2">
        <v>182.84</v>
      </c>
      <c r="F52" s="1">
        <v>26</v>
      </c>
      <c r="G52" s="1">
        <v>5</v>
      </c>
      <c r="H52" s="1">
        <v>3.9E-2</v>
      </c>
      <c r="I52" s="3">
        <v>1080</v>
      </c>
      <c r="J52" s="3">
        <f>Table1[[#This Row],[Cost]]/Table1[[#This Row],[Conversions]]</f>
        <v>36.567999999999998</v>
      </c>
      <c r="K52" s="4">
        <v>45608</v>
      </c>
      <c r="L52" s="1" t="s">
        <v>143</v>
      </c>
      <c r="M52" s="1" t="s">
        <v>15</v>
      </c>
      <c r="N52" s="12">
        <f>Table1[[#This Row],[Sale_Amount]]/Table1[[#This Row],[Cost]]</f>
        <v>5.9068037628527676</v>
      </c>
      <c r="O52" s="2">
        <f>Table1[[#This Row],[Cost]]/Table1[[#This Row],[Clicks]]</f>
        <v>0.95229166666666665</v>
      </c>
      <c r="P52" s="2">
        <f>Table1[[#This Row],[Cost]]/Table1[[#This Row],[Conversions]]</f>
        <v>36.567999999999998</v>
      </c>
      <c r="Q52" s="2">
        <f>Table1[[#This Row],[Sale_Amount]]-Table1[[#This Row],[Cost]]</f>
        <v>897.16</v>
      </c>
      <c r="R52" s="1" t="str">
        <f>IF(Table1[[#This Row],[Sale_Amount]]&gt;1800,"YES","NO")</f>
        <v>NO</v>
      </c>
      <c r="S52" s="1" t="str">
        <f>IF(Table1[[#This Row],[ROAS]]&gt;7,"YES","NO")</f>
        <v>NO</v>
      </c>
      <c r="T52" s="1" t="b">
        <f>_xlfn.XOR(Table1[[#This Row],[Sale_Amount]]&gt;1700,Table1[[#This Row],[ROAS]]&gt;7.8)</f>
        <v>0</v>
      </c>
      <c r="U52" s="1"/>
    </row>
    <row r="53" spans="2:21" x14ac:dyDescent="0.3">
      <c r="B53" s="1" t="s">
        <v>76</v>
      </c>
      <c r="C53" s="1">
        <v>101</v>
      </c>
      <c r="D53" s="1">
        <v>3942</v>
      </c>
      <c r="E53" s="2">
        <v>206.62</v>
      </c>
      <c r="F53" s="1">
        <v>16</v>
      </c>
      <c r="G53" s="1">
        <v>5</v>
      </c>
      <c r="H53" s="1">
        <v>0.05</v>
      </c>
      <c r="I53" s="3">
        <v>1746</v>
      </c>
      <c r="J53" s="3">
        <f>Table1[[#This Row],[Cost]]/Table1[[#This Row],[Conversions]]</f>
        <v>41.323999999999998</v>
      </c>
      <c r="K53" s="4">
        <v>45620</v>
      </c>
      <c r="L53" s="1" t="s">
        <v>143</v>
      </c>
      <c r="M53" s="1" t="s">
        <v>26</v>
      </c>
      <c r="N53" s="12">
        <f>Table1[[#This Row],[Sale_Amount]]/Table1[[#This Row],[Cost]]</f>
        <v>8.4502952279546992</v>
      </c>
      <c r="O53" s="2">
        <f>Table1[[#This Row],[Cost]]/Table1[[#This Row],[Clicks]]</f>
        <v>2.0457425742574258</v>
      </c>
      <c r="P53" s="2">
        <f>Table1[[#This Row],[Cost]]/Table1[[#This Row],[Conversions]]</f>
        <v>41.323999999999998</v>
      </c>
      <c r="Q53" s="2">
        <f>Table1[[#This Row],[Sale_Amount]]-Table1[[#This Row],[Cost]]</f>
        <v>1539.38</v>
      </c>
      <c r="R53" s="1" t="str">
        <f>IF(Table1[[#This Row],[Sale_Amount]]&gt;1800,"YES","NO")</f>
        <v>NO</v>
      </c>
      <c r="S53" s="1" t="str">
        <f>IF(Table1[[#This Row],[ROAS]]&gt;7,"YES","NO")</f>
        <v>YES</v>
      </c>
      <c r="T53" s="1" t="b">
        <f>_xlfn.XOR(Table1[[#This Row],[Sale_Amount]]&gt;1700,Table1[[#This Row],[ROAS]]&gt;7.8)</f>
        <v>0</v>
      </c>
      <c r="U53" s="1"/>
    </row>
    <row r="54" spans="2:21" x14ac:dyDescent="0.3">
      <c r="B54" s="1" t="s">
        <v>77</v>
      </c>
      <c r="C54" s="1">
        <v>157</v>
      </c>
      <c r="D54" s="1">
        <v>3315</v>
      </c>
      <c r="E54" s="2">
        <v>189.56</v>
      </c>
      <c r="F54" s="1">
        <v>15</v>
      </c>
      <c r="G54" s="1">
        <v>10</v>
      </c>
      <c r="H54" s="1">
        <v>6.4000000000000001E-2</v>
      </c>
      <c r="I54" s="3">
        <v>1026</v>
      </c>
      <c r="J54" s="3">
        <f>Table1[[#This Row],[Cost]]/Table1[[#This Row],[Conversions]]</f>
        <v>18.956</v>
      </c>
      <c r="K54" s="4">
        <v>45621</v>
      </c>
      <c r="L54" s="1" t="s">
        <v>143</v>
      </c>
      <c r="M54" s="1" t="s">
        <v>15</v>
      </c>
      <c r="N54" s="12">
        <f>Table1[[#This Row],[Sale_Amount]]/Table1[[#This Row],[Cost]]</f>
        <v>5.4125342899345856</v>
      </c>
      <c r="O54" s="2">
        <f>Table1[[#This Row],[Cost]]/Table1[[#This Row],[Clicks]]</f>
        <v>1.2073885350318472</v>
      </c>
      <c r="P54" s="2">
        <f>Table1[[#This Row],[Cost]]/Table1[[#This Row],[Conversions]]</f>
        <v>18.956</v>
      </c>
      <c r="Q54" s="2">
        <f>Table1[[#This Row],[Sale_Amount]]-Table1[[#This Row],[Cost]]</f>
        <v>836.44</v>
      </c>
      <c r="R54" s="1" t="str">
        <f>IF(Table1[[#This Row],[Sale_Amount]]&gt;1800,"YES","NO")</f>
        <v>NO</v>
      </c>
      <c r="S54" s="1" t="str">
        <f>IF(Table1[[#This Row],[ROAS]]&gt;7,"YES","NO")</f>
        <v>NO</v>
      </c>
      <c r="T54" s="1" t="b">
        <f>_xlfn.XOR(Table1[[#This Row],[Sale_Amount]]&gt;1700,Table1[[#This Row],[ROAS]]&gt;7.8)</f>
        <v>0</v>
      </c>
      <c r="U54" s="1"/>
    </row>
    <row r="55" spans="2:21" x14ac:dyDescent="0.3">
      <c r="B55" s="1" t="s">
        <v>78</v>
      </c>
      <c r="C55" s="1">
        <v>113</v>
      </c>
      <c r="D55" s="1">
        <v>4945</v>
      </c>
      <c r="E55" s="2">
        <v>187.66</v>
      </c>
      <c r="F55" s="1">
        <v>15</v>
      </c>
      <c r="G55" s="1">
        <v>10</v>
      </c>
      <c r="H55" s="1">
        <v>4.8000000000000001E-2</v>
      </c>
      <c r="I55" s="3">
        <v>1564</v>
      </c>
      <c r="J55" s="3">
        <f>Table1[[#This Row],[Cost]]/Table1[[#This Row],[Conversions]]</f>
        <v>18.765999999999998</v>
      </c>
      <c r="K55" s="4">
        <v>45622</v>
      </c>
      <c r="L55" s="1" t="s">
        <v>143</v>
      </c>
      <c r="M55" s="1" t="s">
        <v>19</v>
      </c>
      <c r="N55" s="12">
        <f>Table1[[#This Row],[Sale_Amount]]/Table1[[#This Row],[Cost]]</f>
        <v>8.3342214643504207</v>
      </c>
      <c r="O55" s="2">
        <f>Table1[[#This Row],[Cost]]/Table1[[#This Row],[Clicks]]</f>
        <v>1.6607079646017699</v>
      </c>
      <c r="P55" s="2">
        <f>Table1[[#This Row],[Cost]]/Table1[[#This Row],[Conversions]]</f>
        <v>18.765999999999998</v>
      </c>
      <c r="Q55" s="2">
        <f>Table1[[#This Row],[Sale_Amount]]-Table1[[#This Row],[Cost]]</f>
        <v>1376.34</v>
      </c>
      <c r="R55" s="1" t="str">
        <f>IF(Table1[[#This Row],[Sale_Amount]]&gt;1800,"YES","NO")</f>
        <v>NO</v>
      </c>
      <c r="S55" s="1" t="str">
        <f>IF(Table1[[#This Row],[ROAS]]&gt;7,"YES","NO")</f>
        <v>YES</v>
      </c>
      <c r="T55" s="1" t="b">
        <f>_xlfn.XOR(Table1[[#This Row],[Sale_Amount]]&gt;1700,Table1[[#This Row],[ROAS]]&gt;7.8)</f>
        <v>1</v>
      </c>
      <c r="U55" s="1"/>
    </row>
    <row r="56" spans="2:21" x14ac:dyDescent="0.3">
      <c r="B56" s="1" t="s">
        <v>79</v>
      </c>
      <c r="C56" s="1">
        <v>96</v>
      </c>
      <c r="D56" s="1">
        <v>3166</v>
      </c>
      <c r="E56" s="2">
        <v>196.15</v>
      </c>
      <c r="F56" s="1">
        <v>29</v>
      </c>
      <c r="G56" s="1">
        <v>7</v>
      </c>
      <c r="H56" s="1">
        <v>7.2999999999999995E-2</v>
      </c>
      <c r="I56" s="3">
        <v>1902</v>
      </c>
      <c r="J56" s="3">
        <f>Table1[[#This Row],[Cost]]/Table1[[#This Row],[Conversions]]</f>
        <v>28.021428571428572</v>
      </c>
      <c r="K56" s="7" t="s">
        <v>80</v>
      </c>
      <c r="L56" s="1" t="s">
        <v>143</v>
      </c>
      <c r="M56" s="1" t="s">
        <v>17</v>
      </c>
      <c r="N56" s="12">
        <f>Table1[[#This Row],[Sale_Amount]]/Table1[[#This Row],[Cost]]</f>
        <v>9.6966607188376237</v>
      </c>
      <c r="O56" s="2">
        <f>Table1[[#This Row],[Cost]]/Table1[[#This Row],[Clicks]]</f>
        <v>2.0432291666666669</v>
      </c>
      <c r="P56" s="2">
        <f>Table1[[#This Row],[Cost]]/Table1[[#This Row],[Conversions]]</f>
        <v>28.021428571428572</v>
      </c>
      <c r="Q56" s="2">
        <f>Table1[[#This Row],[Sale_Amount]]-Table1[[#This Row],[Cost]]</f>
        <v>1705.85</v>
      </c>
      <c r="R56" s="1" t="str">
        <f>IF(Table1[[#This Row],[Sale_Amount]]&gt;1800,"YES","NO")</f>
        <v>YES</v>
      </c>
      <c r="S56" s="1" t="str">
        <f>IF(Table1[[#This Row],[ROAS]]&gt;7,"YES","NO")</f>
        <v>YES</v>
      </c>
      <c r="T56" s="1" t="b">
        <f>_xlfn.XOR(Table1[[#This Row],[Sale_Amount]]&gt;1700,Table1[[#This Row],[ROAS]]&gt;7.8)</f>
        <v>0</v>
      </c>
      <c r="U56" s="1"/>
    </row>
    <row r="57" spans="2:21" x14ac:dyDescent="0.3">
      <c r="B57" s="1" t="s">
        <v>81</v>
      </c>
      <c r="C57" s="1">
        <v>125</v>
      </c>
      <c r="D57" s="1">
        <v>4223</v>
      </c>
      <c r="E57" s="2">
        <v>183.68</v>
      </c>
      <c r="F57" s="1">
        <v>15</v>
      </c>
      <c r="G57" s="1">
        <v>6</v>
      </c>
      <c r="H57" s="1">
        <v>0.4</v>
      </c>
      <c r="I57" s="3">
        <v>1267</v>
      </c>
      <c r="J57" s="3">
        <f>Table1[[#This Row],[Cost]]/Table1[[#This Row],[Conversions]]</f>
        <v>30.613333333333333</v>
      </c>
      <c r="K57" s="4">
        <v>45601</v>
      </c>
      <c r="L57" s="1" t="s">
        <v>143</v>
      </c>
      <c r="M57" s="1" t="s">
        <v>12</v>
      </c>
      <c r="N57" s="12">
        <f>Table1[[#This Row],[Sale_Amount]]/Table1[[#This Row],[Cost]]</f>
        <v>6.8978658536585362</v>
      </c>
      <c r="O57" s="2">
        <f>Table1[[#This Row],[Cost]]/Table1[[#This Row],[Clicks]]</f>
        <v>1.4694400000000001</v>
      </c>
      <c r="P57" s="2">
        <f>Table1[[#This Row],[Cost]]/Table1[[#This Row],[Conversions]]</f>
        <v>30.613333333333333</v>
      </c>
      <c r="Q57" s="2">
        <f>Table1[[#This Row],[Sale_Amount]]-Table1[[#This Row],[Cost]]</f>
        <v>1083.32</v>
      </c>
      <c r="R57" s="1" t="str">
        <f>IF(Table1[[#This Row],[Sale_Amount]]&gt;1800,"YES","NO")</f>
        <v>NO</v>
      </c>
      <c r="S57" s="1" t="str">
        <f>IF(Table1[[#This Row],[ROAS]]&gt;7,"YES","NO")</f>
        <v>NO</v>
      </c>
      <c r="T57" s="1" t="b">
        <f>_xlfn.XOR(Table1[[#This Row],[Sale_Amount]]&gt;1700,Table1[[#This Row],[ROAS]]&gt;7.8)</f>
        <v>0</v>
      </c>
      <c r="U57" s="1"/>
    </row>
    <row r="58" spans="2:21" x14ac:dyDescent="0.3">
      <c r="B58" s="1" t="s">
        <v>82</v>
      </c>
      <c r="C58" s="1">
        <v>104</v>
      </c>
      <c r="D58" s="1">
        <v>4798</v>
      </c>
      <c r="E58" s="2">
        <v>210.1</v>
      </c>
      <c r="F58" s="1">
        <v>18</v>
      </c>
      <c r="G58" s="1">
        <v>3</v>
      </c>
      <c r="H58" s="1">
        <v>4.4999999999999998E-2</v>
      </c>
      <c r="I58" s="3">
        <v>1340</v>
      </c>
      <c r="J58" s="3">
        <f>Table1[[#This Row],[Cost]]/Table1[[#This Row],[Conversions]]</f>
        <v>70.033333333333331</v>
      </c>
      <c r="K58" s="7" t="s">
        <v>74</v>
      </c>
      <c r="L58" s="1" t="s">
        <v>143</v>
      </c>
      <c r="M58" s="1" t="s">
        <v>12</v>
      </c>
      <c r="N58" s="12">
        <f>Table1[[#This Row],[Sale_Amount]]/Table1[[#This Row],[Cost]]</f>
        <v>6.3779152784388389</v>
      </c>
      <c r="O58" s="2">
        <f>Table1[[#This Row],[Cost]]/Table1[[#This Row],[Clicks]]</f>
        <v>2.0201923076923078</v>
      </c>
      <c r="P58" s="2">
        <f>Table1[[#This Row],[Cost]]/Table1[[#This Row],[Conversions]]</f>
        <v>70.033333333333331</v>
      </c>
      <c r="Q58" s="2">
        <f>Table1[[#This Row],[Sale_Amount]]-Table1[[#This Row],[Cost]]</f>
        <v>1129.9000000000001</v>
      </c>
      <c r="R58" s="1" t="str">
        <f>IF(Table1[[#This Row],[Sale_Amount]]&gt;1800,"YES","NO")</f>
        <v>NO</v>
      </c>
      <c r="S58" s="1" t="str">
        <f>IF(Table1[[#This Row],[ROAS]]&gt;7,"YES","NO")</f>
        <v>NO</v>
      </c>
      <c r="T58" s="1" t="b">
        <f>_xlfn.XOR(Table1[[#This Row],[Sale_Amount]]&gt;1700,Table1[[#This Row],[ROAS]]&gt;7.8)</f>
        <v>0</v>
      </c>
      <c r="U58" s="1"/>
    </row>
    <row r="59" spans="2:21" x14ac:dyDescent="0.3">
      <c r="B59" s="1" t="s">
        <v>83</v>
      </c>
      <c r="C59" s="1">
        <v>194</v>
      </c>
      <c r="D59" s="1">
        <v>5655</v>
      </c>
      <c r="E59" s="2">
        <v>208.58</v>
      </c>
      <c r="F59" s="1">
        <v>13</v>
      </c>
      <c r="G59" s="1">
        <v>6</v>
      </c>
      <c r="H59" s="1">
        <v>3.1E-2</v>
      </c>
      <c r="I59" s="3">
        <v>1692</v>
      </c>
      <c r="J59" s="3">
        <f>Table1[[#This Row],[Cost]]/Table1[[#This Row],[Conversions]]</f>
        <v>34.763333333333335</v>
      </c>
      <c r="K59" s="4">
        <v>45612</v>
      </c>
      <c r="L59" s="1" t="s">
        <v>143</v>
      </c>
      <c r="M59" s="1" t="s">
        <v>15</v>
      </c>
      <c r="N59" s="12">
        <f>Table1[[#This Row],[Sale_Amount]]/Table1[[#This Row],[Cost]]</f>
        <v>8.1119953974494194</v>
      </c>
      <c r="O59" s="2">
        <f>Table1[[#This Row],[Cost]]/Table1[[#This Row],[Clicks]]</f>
        <v>1.0751546391752578</v>
      </c>
      <c r="P59" s="2">
        <f>Table1[[#This Row],[Cost]]/Table1[[#This Row],[Conversions]]</f>
        <v>34.763333333333335</v>
      </c>
      <c r="Q59" s="2">
        <f>Table1[[#This Row],[Sale_Amount]]-Table1[[#This Row],[Cost]]</f>
        <v>1483.42</v>
      </c>
      <c r="R59" s="1" t="str">
        <f>IF(Table1[[#This Row],[Sale_Amount]]&gt;1800,"YES","NO")</f>
        <v>NO</v>
      </c>
      <c r="S59" s="1" t="str">
        <f>IF(Table1[[#This Row],[ROAS]]&gt;7,"YES","NO")</f>
        <v>YES</v>
      </c>
      <c r="T59" s="1" t="b">
        <f>_xlfn.XOR(Table1[[#This Row],[Sale_Amount]]&gt;1700,Table1[[#This Row],[ROAS]]&gt;7.8)</f>
        <v>1</v>
      </c>
      <c r="U59" s="1"/>
    </row>
    <row r="60" spans="2:21" x14ac:dyDescent="0.3">
      <c r="B60" s="1" t="s">
        <v>84</v>
      </c>
      <c r="C60" s="1">
        <v>144</v>
      </c>
      <c r="D60" s="1">
        <v>5140</v>
      </c>
      <c r="E60" s="2">
        <v>219.48</v>
      </c>
      <c r="F60" s="1">
        <v>19</v>
      </c>
      <c r="G60" s="1">
        <v>8</v>
      </c>
      <c r="H60" s="1">
        <v>4.7E-2</v>
      </c>
      <c r="I60" s="3">
        <v>1054</v>
      </c>
      <c r="J60" s="3">
        <f>Table1[[#This Row],[Cost]]/Table1[[#This Row],[Conversions]]</f>
        <v>27.434999999999999</v>
      </c>
      <c r="K60" s="7" t="s">
        <v>85</v>
      </c>
      <c r="L60" s="1" t="s">
        <v>143</v>
      </c>
      <c r="M60" s="1" t="s">
        <v>12</v>
      </c>
      <c r="N60" s="12">
        <f>Table1[[#This Row],[Sale_Amount]]/Table1[[#This Row],[Cost]]</f>
        <v>4.8022598870056497</v>
      </c>
      <c r="O60" s="2">
        <f>Table1[[#This Row],[Cost]]/Table1[[#This Row],[Clicks]]</f>
        <v>1.5241666666666667</v>
      </c>
      <c r="P60" s="2">
        <f>Table1[[#This Row],[Cost]]/Table1[[#This Row],[Conversions]]</f>
        <v>27.434999999999999</v>
      </c>
      <c r="Q60" s="2">
        <f>Table1[[#This Row],[Sale_Amount]]-Table1[[#This Row],[Cost]]</f>
        <v>834.52</v>
      </c>
      <c r="R60" s="1" t="str">
        <f>IF(Table1[[#This Row],[Sale_Amount]]&gt;1800,"YES","NO")</f>
        <v>NO</v>
      </c>
      <c r="S60" s="1" t="str">
        <f>IF(Table1[[#This Row],[ROAS]]&gt;7,"YES","NO")</f>
        <v>NO</v>
      </c>
      <c r="T60" s="1" t="b">
        <f>_xlfn.XOR(Table1[[#This Row],[Sale_Amount]]&gt;1700,Table1[[#This Row],[ROAS]]&gt;7.8)</f>
        <v>0</v>
      </c>
      <c r="U60" s="1"/>
    </row>
    <row r="61" spans="2:21" x14ac:dyDescent="0.3">
      <c r="B61" s="1" t="s">
        <v>86</v>
      </c>
      <c r="C61" s="1">
        <v>179</v>
      </c>
      <c r="D61" s="1">
        <v>3025</v>
      </c>
      <c r="E61" s="2">
        <v>238.81</v>
      </c>
      <c r="F61" s="1">
        <v>17</v>
      </c>
      <c r="G61" s="1">
        <v>3</v>
      </c>
      <c r="H61" s="1">
        <v>1.7000000000000001E-2</v>
      </c>
      <c r="I61" s="1"/>
      <c r="J61" s="3">
        <f>Table1[[#This Row],[Cost]]/Table1[[#This Row],[Conversions]]</f>
        <v>79.603333333333339</v>
      </c>
      <c r="K61" s="4">
        <v>45607</v>
      </c>
      <c r="L61" s="1" t="s">
        <v>143</v>
      </c>
      <c r="M61" s="1" t="s">
        <v>15</v>
      </c>
      <c r="N61" s="12">
        <f>Table1[[#This Row],[Sale_Amount]]/Table1[[#This Row],[Cost]]</f>
        <v>0</v>
      </c>
      <c r="O61" s="2">
        <f>Table1[[#This Row],[Cost]]/Table1[[#This Row],[Clicks]]</f>
        <v>1.3341340782122906</v>
      </c>
      <c r="P61" s="2">
        <f>Table1[[#This Row],[Cost]]/Table1[[#This Row],[Conversions]]</f>
        <v>79.603333333333339</v>
      </c>
      <c r="Q61" s="2">
        <f>Table1[[#This Row],[Sale_Amount]]-Table1[[#This Row],[Cost]]</f>
        <v>-238.81</v>
      </c>
      <c r="R61" s="1" t="str">
        <f>IF(Table1[[#This Row],[Sale_Amount]]&gt;1800,"YES","NO")</f>
        <v>NO</v>
      </c>
      <c r="S61" s="1" t="str">
        <f>IF(Table1[[#This Row],[ROAS]]&gt;7,"YES","NO")</f>
        <v>NO</v>
      </c>
      <c r="T61" s="1" t="b">
        <f>_xlfn.XOR(Table1[[#This Row],[Sale_Amount]]&gt;1700,Table1[[#This Row],[ROAS]]&gt;7.8)</f>
        <v>0</v>
      </c>
      <c r="U61" s="1"/>
    </row>
    <row r="62" spans="2:21" x14ac:dyDescent="0.3">
      <c r="B62" s="1" t="s">
        <v>87</v>
      </c>
      <c r="C62" s="1">
        <v>166</v>
      </c>
      <c r="D62" s="1">
        <v>5223</v>
      </c>
      <c r="E62" s="2">
        <v>189.76</v>
      </c>
      <c r="F62" s="1">
        <v>18</v>
      </c>
      <c r="G62" s="1">
        <v>7</v>
      </c>
      <c r="H62" s="1">
        <v>4.2000000000000003E-2</v>
      </c>
      <c r="I62" s="3">
        <v>1219</v>
      </c>
      <c r="J62" s="3">
        <f>Table1[[#This Row],[Cost]]/Table1[[#This Row],[Conversions]]</f>
        <v>27.108571428571427</v>
      </c>
      <c r="K62" s="7" t="s">
        <v>22</v>
      </c>
      <c r="L62" s="1" t="s">
        <v>143</v>
      </c>
      <c r="M62" s="1" t="s">
        <v>26</v>
      </c>
      <c r="N62" s="12">
        <f>Table1[[#This Row],[Sale_Amount]]/Table1[[#This Row],[Cost]]</f>
        <v>6.4239038785834746</v>
      </c>
      <c r="O62" s="2">
        <f>Table1[[#This Row],[Cost]]/Table1[[#This Row],[Clicks]]</f>
        <v>1.1431325301204818</v>
      </c>
      <c r="P62" s="2">
        <f>Table1[[#This Row],[Cost]]/Table1[[#This Row],[Conversions]]</f>
        <v>27.108571428571427</v>
      </c>
      <c r="Q62" s="2">
        <f>Table1[[#This Row],[Sale_Amount]]-Table1[[#This Row],[Cost]]</f>
        <v>1029.24</v>
      </c>
      <c r="R62" s="1" t="str">
        <f>IF(Table1[[#This Row],[Sale_Amount]]&gt;1800,"YES","NO")</f>
        <v>NO</v>
      </c>
      <c r="S62" s="1" t="str">
        <f>IF(Table1[[#This Row],[ROAS]]&gt;7,"YES","NO")</f>
        <v>NO</v>
      </c>
      <c r="T62" s="1" t="b">
        <f>_xlfn.XOR(Table1[[#This Row],[Sale_Amount]]&gt;1700,Table1[[#This Row],[ROAS]]&gt;7.8)</f>
        <v>0</v>
      </c>
      <c r="U62" s="1"/>
    </row>
    <row r="63" spans="2:21" x14ac:dyDescent="0.3">
      <c r="B63" s="1" t="s">
        <v>88</v>
      </c>
      <c r="C63" s="1">
        <v>166</v>
      </c>
      <c r="D63" s="1">
        <v>5089</v>
      </c>
      <c r="E63" s="5">
        <v>156</v>
      </c>
      <c r="F63" s="1">
        <v>26</v>
      </c>
      <c r="G63" s="1">
        <v>7</v>
      </c>
      <c r="H63" s="1">
        <v>4.2000000000000003E-2</v>
      </c>
      <c r="I63" s="3">
        <v>1946</v>
      </c>
      <c r="J63" s="3">
        <f>Table1[[#This Row],[Cost]]/Table1[[#This Row],[Conversions]]</f>
        <v>22.285714285714285</v>
      </c>
      <c r="K63" s="4">
        <v>45607</v>
      </c>
      <c r="L63" s="1" t="s">
        <v>143</v>
      </c>
      <c r="M63" s="1" t="s">
        <v>19</v>
      </c>
      <c r="N63" s="12">
        <f>Table1[[#This Row],[Sale_Amount]]/Table1[[#This Row],[Cost]]</f>
        <v>12.474358974358974</v>
      </c>
      <c r="O63" s="2">
        <f>Table1[[#This Row],[Cost]]/Table1[[#This Row],[Clicks]]</f>
        <v>0.93975903614457834</v>
      </c>
      <c r="P63" s="2">
        <f>Table1[[#This Row],[Cost]]/Table1[[#This Row],[Conversions]]</f>
        <v>22.285714285714285</v>
      </c>
      <c r="Q63" s="2">
        <f>Table1[[#This Row],[Sale_Amount]]-Table1[[#This Row],[Cost]]</f>
        <v>1790</v>
      </c>
      <c r="R63" s="1" t="str">
        <f>IF(Table1[[#This Row],[Sale_Amount]]&gt;1800,"YES","NO")</f>
        <v>YES</v>
      </c>
      <c r="S63" s="1" t="str">
        <f>IF(Table1[[#This Row],[ROAS]]&gt;7,"YES","NO")</f>
        <v>YES</v>
      </c>
      <c r="T63" s="1" t="b">
        <f>_xlfn.XOR(Table1[[#This Row],[Sale_Amount]]&gt;1700,Table1[[#This Row],[ROAS]]&gt;7.8)</f>
        <v>0</v>
      </c>
      <c r="U63" s="1"/>
    </row>
    <row r="64" spans="2:21" x14ac:dyDescent="0.3">
      <c r="B64" s="1" t="s">
        <v>89</v>
      </c>
      <c r="C64" s="1">
        <v>118</v>
      </c>
      <c r="D64" s="1">
        <v>5016</v>
      </c>
      <c r="E64" s="2">
        <v>204.31</v>
      </c>
      <c r="F64" s="1">
        <v>19</v>
      </c>
      <c r="G64" s="1">
        <v>9</v>
      </c>
      <c r="H64" s="1">
        <v>4.4999999999999998E-2</v>
      </c>
      <c r="I64" s="3">
        <v>1833</v>
      </c>
      <c r="J64" s="3">
        <f>Table1[[#This Row],[Cost]]/Table1[[#This Row],[Conversions]]</f>
        <v>22.701111111111111</v>
      </c>
      <c r="K64" s="4">
        <v>45604</v>
      </c>
      <c r="L64" s="1" t="s">
        <v>143</v>
      </c>
      <c r="M64" s="1" t="s">
        <v>17</v>
      </c>
      <c r="N64" s="12">
        <f>Table1[[#This Row],[Sale_Amount]]/Table1[[#This Row],[Cost]]</f>
        <v>8.9716607116636489</v>
      </c>
      <c r="O64" s="2">
        <f>Table1[[#This Row],[Cost]]/Table1[[#This Row],[Clicks]]</f>
        <v>1.7314406779661018</v>
      </c>
      <c r="P64" s="2">
        <f>Table1[[#This Row],[Cost]]/Table1[[#This Row],[Conversions]]</f>
        <v>22.701111111111111</v>
      </c>
      <c r="Q64" s="2">
        <f>Table1[[#This Row],[Sale_Amount]]-Table1[[#This Row],[Cost]]</f>
        <v>1628.69</v>
      </c>
      <c r="R64" s="1" t="str">
        <f>IF(Table1[[#This Row],[Sale_Amount]]&gt;1800,"YES","NO")</f>
        <v>YES</v>
      </c>
      <c r="S64" s="1" t="str">
        <f>IF(Table1[[#This Row],[ROAS]]&gt;7,"YES","NO")</f>
        <v>YES</v>
      </c>
      <c r="T64" s="1" t="b">
        <f>_xlfn.XOR(Table1[[#This Row],[Sale_Amount]]&gt;1700,Table1[[#This Row],[ROAS]]&gt;7.8)</f>
        <v>0</v>
      </c>
      <c r="U64" s="1"/>
    </row>
    <row r="65" spans="2:21" x14ac:dyDescent="0.3">
      <c r="B65" s="1" t="s">
        <v>90</v>
      </c>
      <c r="C65" s="1">
        <v>185</v>
      </c>
      <c r="D65" s="1">
        <v>3617</v>
      </c>
      <c r="E65" s="2">
        <v>222.32</v>
      </c>
      <c r="F65" s="1">
        <v>24</v>
      </c>
      <c r="G65" s="1">
        <v>7</v>
      </c>
      <c r="H65" s="1">
        <v>3.7999999999999999E-2</v>
      </c>
      <c r="I65" s="3">
        <v>1963</v>
      </c>
      <c r="J65" s="3">
        <f>Table1[[#This Row],[Cost]]/Table1[[#This Row],[Conversions]]</f>
        <v>31.759999999999998</v>
      </c>
      <c r="K65" s="7" t="s">
        <v>91</v>
      </c>
      <c r="L65" s="1" t="s">
        <v>143</v>
      </c>
      <c r="M65" s="1" t="s">
        <v>28</v>
      </c>
      <c r="N65" s="12">
        <f>Table1[[#This Row],[Sale_Amount]]/Table1[[#This Row],[Cost]]</f>
        <v>8.8296149694134591</v>
      </c>
      <c r="O65" s="2">
        <f>Table1[[#This Row],[Cost]]/Table1[[#This Row],[Clicks]]</f>
        <v>1.2017297297297298</v>
      </c>
      <c r="P65" s="2">
        <f>Table1[[#This Row],[Cost]]/Table1[[#This Row],[Conversions]]</f>
        <v>31.759999999999998</v>
      </c>
      <c r="Q65" s="2">
        <f>Table1[[#This Row],[Sale_Amount]]-Table1[[#This Row],[Cost]]</f>
        <v>1740.68</v>
      </c>
      <c r="R65" s="1" t="str">
        <f>IF(Table1[[#This Row],[Sale_Amount]]&gt;1800,"YES","NO")</f>
        <v>YES</v>
      </c>
      <c r="S65" s="1" t="str">
        <f>IF(Table1[[#This Row],[ROAS]]&gt;7,"YES","NO")</f>
        <v>YES</v>
      </c>
      <c r="T65" s="1" t="b">
        <f>_xlfn.XOR(Table1[[#This Row],[Sale_Amount]]&gt;1700,Table1[[#This Row],[ROAS]]&gt;7.8)</f>
        <v>0</v>
      </c>
      <c r="U65" s="1"/>
    </row>
    <row r="66" spans="2:21" x14ac:dyDescent="0.3">
      <c r="B66" s="1" t="s">
        <v>92</v>
      </c>
      <c r="C66" s="1">
        <v>116</v>
      </c>
      <c r="D66" s="1">
        <v>3764</v>
      </c>
      <c r="E66" s="2">
        <v>232.03</v>
      </c>
      <c r="F66" s="1">
        <v>28</v>
      </c>
      <c r="G66" s="1">
        <v>10</v>
      </c>
      <c r="H66" s="1">
        <v>8.5999999999999993E-2</v>
      </c>
      <c r="I66" s="3">
        <v>1348</v>
      </c>
      <c r="J66" s="3">
        <f>Table1[[#This Row],[Cost]]/Table1[[#This Row],[Conversions]]</f>
        <v>23.202999999999999</v>
      </c>
      <c r="K66" s="4">
        <v>45616</v>
      </c>
      <c r="L66" s="1" t="s">
        <v>152</v>
      </c>
      <c r="M66" s="1" t="s">
        <v>26</v>
      </c>
      <c r="N66" s="12">
        <f>Table1[[#This Row],[Sale_Amount]]/Table1[[#This Row],[Cost]]</f>
        <v>5.8095935870361588</v>
      </c>
      <c r="O66" s="2">
        <f>Table1[[#This Row],[Cost]]/Table1[[#This Row],[Clicks]]</f>
        <v>2.0002586206896553</v>
      </c>
      <c r="P66" s="2">
        <f>Table1[[#This Row],[Cost]]/Table1[[#This Row],[Conversions]]</f>
        <v>23.202999999999999</v>
      </c>
      <c r="Q66" s="2">
        <f>Table1[[#This Row],[Sale_Amount]]-Table1[[#This Row],[Cost]]</f>
        <v>1115.97</v>
      </c>
      <c r="R66" s="1" t="str">
        <f>IF(Table1[[#This Row],[Sale_Amount]]&gt;1800,"YES","NO")</f>
        <v>NO</v>
      </c>
      <c r="S66" s="1" t="str">
        <f>IF(Table1[[#This Row],[ROAS]]&gt;7,"YES","NO")</f>
        <v>NO</v>
      </c>
      <c r="T66" s="1" t="b">
        <f>_xlfn.XOR(Table1[[#This Row],[Sale_Amount]]&gt;1700,Table1[[#This Row],[ROAS]]&gt;7.8)</f>
        <v>0</v>
      </c>
      <c r="U66" s="1"/>
    </row>
    <row r="67" spans="2:21" x14ac:dyDescent="0.3">
      <c r="B67" s="1" t="s">
        <v>93</v>
      </c>
      <c r="C67" s="1">
        <v>99</v>
      </c>
      <c r="D67" s="1">
        <v>4489</v>
      </c>
      <c r="E67" s="2">
        <v>183.73</v>
      </c>
      <c r="F67" s="1">
        <v>15</v>
      </c>
      <c r="G67" s="1">
        <v>6</v>
      </c>
      <c r="H67" s="1">
        <v>6.0999999999999999E-2</v>
      </c>
      <c r="I67" s="3">
        <v>1264</v>
      </c>
      <c r="J67" s="3">
        <f>Table1[[#This Row],[Cost]]/Table1[[#This Row],[Conversions]]</f>
        <v>30.621666666666666</v>
      </c>
      <c r="K67" s="4">
        <v>45601</v>
      </c>
      <c r="L67" s="1" t="s">
        <v>152</v>
      </c>
      <c r="M67" s="1" t="s">
        <v>12</v>
      </c>
      <c r="N67" s="12">
        <f>Table1[[#This Row],[Sale_Amount]]/Table1[[#This Row],[Cost]]</f>
        <v>6.8796603711968656</v>
      </c>
      <c r="O67" s="2">
        <f>Table1[[#This Row],[Cost]]/Table1[[#This Row],[Clicks]]</f>
        <v>1.8558585858585857</v>
      </c>
      <c r="P67" s="2">
        <f>Table1[[#This Row],[Cost]]/Table1[[#This Row],[Conversions]]</f>
        <v>30.621666666666666</v>
      </c>
      <c r="Q67" s="2">
        <f>Table1[[#This Row],[Sale_Amount]]-Table1[[#This Row],[Cost]]</f>
        <v>1080.27</v>
      </c>
      <c r="R67" s="1" t="str">
        <f>IF(Table1[[#This Row],[Sale_Amount]]&gt;1800,"YES","NO")</f>
        <v>NO</v>
      </c>
      <c r="S67" s="1" t="str">
        <f>IF(Table1[[#This Row],[ROAS]]&gt;7,"YES","NO")</f>
        <v>NO</v>
      </c>
      <c r="T67" s="1" t="b">
        <f>_xlfn.XOR(Table1[[#This Row],[Sale_Amount]]&gt;1700,Table1[[#This Row],[ROAS]]&gt;7.8)</f>
        <v>0</v>
      </c>
      <c r="U67" s="1"/>
    </row>
    <row r="68" spans="2:21" x14ac:dyDescent="0.3">
      <c r="B68" s="1" t="s">
        <v>94</v>
      </c>
      <c r="C68" s="1">
        <v>172</v>
      </c>
      <c r="D68" s="1">
        <v>4441</v>
      </c>
      <c r="E68" s="2">
        <v>221.18</v>
      </c>
      <c r="F68" s="1">
        <v>14</v>
      </c>
      <c r="G68" s="1">
        <v>8</v>
      </c>
      <c r="H68" s="1">
        <v>4.7E-2</v>
      </c>
      <c r="I68" s="3">
        <v>1771</v>
      </c>
      <c r="J68" s="3">
        <f>Table1[[#This Row],[Cost]]/Table1[[#This Row],[Conversions]]</f>
        <v>27.647500000000001</v>
      </c>
      <c r="K68" s="7" t="s">
        <v>95</v>
      </c>
      <c r="L68" s="1" t="s">
        <v>152</v>
      </c>
      <c r="M68" s="1" t="s">
        <v>15</v>
      </c>
      <c r="N68" s="12">
        <f>Table1[[#This Row],[Sale_Amount]]/Table1[[#This Row],[Cost]]</f>
        <v>8.0070530789402294</v>
      </c>
      <c r="O68" s="2">
        <f>Table1[[#This Row],[Cost]]/Table1[[#This Row],[Clicks]]</f>
        <v>1.2859302325581397</v>
      </c>
      <c r="P68" s="2">
        <f>Table1[[#This Row],[Cost]]/Table1[[#This Row],[Conversions]]</f>
        <v>27.647500000000001</v>
      </c>
      <c r="Q68" s="2">
        <f>Table1[[#This Row],[Sale_Amount]]-Table1[[#This Row],[Cost]]</f>
        <v>1549.82</v>
      </c>
      <c r="R68" s="1" t="str">
        <f>IF(Table1[[#This Row],[Sale_Amount]]&gt;1800,"YES","NO")</f>
        <v>NO</v>
      </c>
      <c r="S68" s="1" t="str">
        <f>IF(Table1[[#This Row],[ROAS]]&gt;7,"YES","NO")</f>
        <v>YES</v>
      </c>
      <c r="T68" s="1" t="b">
        <f>_xlfn.XOR(Table1[[#This Row],[Sale_Amount]]&gt;1700,Table1[[#This Row],[ROAS]]&gt;7.8)</f>
        <v>0</v>
      </c>
      <c r="U68" s="1"/>
    </row>
    <row r="69" spans="2:21" x14ac:dyDescent="0.3">
      <c r="B69" s="1" t="s">
        <v>96</v>
      </c>
      <c r="C69" s="1">
        <v>138</v>
      </c>
      <c r="D69" s="1">
        <v>5751</v>
      </c>
      <c r="E69" s="2">
        <v>199.11</v>
      </c>
      <c r="F69" s="1">
        <v>26</v>
      </c>
      <c r="G69" s="1">
        <v>9</v>
      </c>
      <c r="H69" s="1">
        <v>5.1999999999999998E-2</v>
      </c>
      <c r="I69" s="3">
        <v>1337</v>
      </c>
      <c r="J69" s="3">
        <f>Table1[[#This Row],[Cost]]/Table1[[#This Row],[Conversions]]</f>
        <v>22.123333333333335</v>
      </c>
      <c r="K69" s="4">
        <v>45606</v>
      </c>
      <c r="L69" s="1" t="s">
        <v>152</v>
      </c>
      <c r="M69" s="1" t="s">
        <v>12</v>
      </c>
      <c r="N69" s="12">
        <f>Table1[[#This Row],[Sale_Amount]]/Table1[[#This Row],[Cost]]</f>
        <v>6.7148812214353866</v>
      </c>
      <c r="O69" s="2">
        <f>Table1[[#This Row],[Cost]]/Table1[[#This Row],[Clicks]]</f>
        <v>1.4428260869565219</v>
      </c>
      <c r="P69" s="2">
        <f>Table1[[#This Row],[Cost]]/Table1[[#This Row],[Conversions]]</f>
        <v>22.123333333333335</v>
      </c>
      <c r="Q69" s="2">
        <f>Table1[[#This Row],[Sale_Amount]]-Table1[[#This Row],[Cost]]</f>
        <v>1137.8899999999999</v>
      </c>
      <c r="R69" s="1" t="str">
        <f>IF(Table1[[#This Row],[Sale_Amount]]&gt;1800,"YES","NO")</f>
        <v>NO</v>
      </c>
      <c r="S69" s="1" t="str">
        <f>IF(Table1[[#This Row],[ROAS]]&gt;7,"YES","NO")</f>
        <v>NO</v>
      </c>
      <c r="T69" s="1" t="b">
        <f>_xlfn.XOR(Table1[[#This Row],[Sale_Amount]]&gt;1700,Table1[[#This Row],[ROAS]]&gt;7.8)</f>
        <v>0</v>
      </c>
      <c r="U69" s="1"/>
    </row>
    <row r="70" spans="2:21" x14ac:dyDescent="0.3">
      <c r="B70" s="1" t="s">
        <v>97</v>
      </c>
      <c r="C70" s="1">
        <v>84</v>
      </c>
      <c r="D70" s="1">
        <v>4036</v>
      </c>
      <c r="E70" s="2">
        <v>234.22</v>
      </c>
      <c r="F70" s="1">
        <v>23</v>
      </c>
      <c r="G70" s="1">
        <v>10</v>
      </c>
      <c r="H70" s="1">
        <v>0.11899999999999999</v>
      </c>
      <c r="I70" s="3">
        <v>1287</v>
      </c>
      <c r="J70" s="3">
        <f>Table1[[#This Row],[Cost]]/Table1[[#This Row],[Conversions]]</f>
        <v>23.422000000000001</v>
      </c>
      <c r="K70" s="4">
        <v>45393</v>
      </c>
      <c r="L70" s="1" t="s">
        <v>152</v>
      </c>
      <c r="M70" s="1" t="s">
        <v>17</v>
      </c>
      <c r="N70" s="12">
        <f>Table1[[#This Row],[Sale_Amount]]/Table1[[#This Row],[Cost]]</f>
        <v>5.4948339168303306</v>
      </c>
      <c r="O70" s="2">
        <f>Table1[[#This Row],[Cost]]/Table1[[#This Row],[Clicks]]</f>
        <v>2.7883333333333331</v>
      </c>
      <c r="P70" s="2">
        <f>Table1[[#This Row],[Cost]]/Table1[[#This Row],[Conversions]]</f>
        <v>23.422000000000001</v>
      </c>
      <c r="Q70" s="2">
        <f>Table1[[#This Row],[Sale_Amount]]-Table1[[#This Row],[Cost]]</f>
        <v>1052.78</v>
      </c>
      <c r="R70" s="1" t="str">
        <f>IF(Table1[[#This Row],[Sale_Amount]]&gt;1800,"YES","NO")</f>
        <v>NO</v>
      </c>
      <c r="S70" s="1" t="str">
        <f>IF(Table1[[#This Row],[ROAS]]&gt;7,"YES","NO")</f>
        <v>NO</v>
      </c>
      <c r="T70" s="1" t="b">
        <f>_xlfn.XOR(Table1[[#This Row],[Sale_Amount]]&gt;1700,Table1[[#This Row],[ROAS]]&gt;7.8)</f>
        <v>0</v>
      </c>
      <c r="U70" s="1"/>
    </row>
    <row r="71" spans="2:21" x14ac:dyDescent="0.3">
      <c r="B71" s="1" t="s">
        <v>98</v>
      </c>
      <c r="C71" s="1">
        <v>124</v>
      </c>
      <c r="D71" s="1">
        <v>4942</v>
      </c>
      <c r="E71" s="2">
        <v>240.59</v>
      </c>
      <c r="F71" s="1">
        <v>18</v>
      </c>
      <c r="G71" s="1">
        <v>3</v>
      </c>
      <c r="H71" s="1">
        <v>2.4E-2</v>
      </c>
      <c r="I71" s="3">
        <v>1922</v>
      </c>
      <c r="J71" s="3">
        <f>Table1[[#This Row],[Cost]]/Table1[[#This Row],[Conversions]]</f>
        <v>80.196666666666673</v>
      </c>
      <c r="K71" s="4">
        <v>45612</v>
      </c>
      <c r="L71" s="1" t="s">
        <v>152</v>
      </c>
      <c r="M71" s="1" t="s">
        <v>12</v>
      </c>
      <c r="N71" s="12">
        <f>Table1[[#This Row],[Sale_Amount]]/Table1[[#This Row],[Cost]]</f>
        <v>7.9886944594538427</v>
      </c>
      <c r="O71" s="2">
        <f>Table1[[#This Row],[Cost]]/Table1[[#This Row],[Clicks]]</f>
        <v>1.9402419354838709</v>
      </c>
      <c r="P71" s="2">
        <f>Table1[[#This Row],[Cost]]/Table1[[#This Row],[Conversions]]</f>
        <v>80.196666666666673</v>
      </c>
      <c r="Q71" s="2">
        <f>Table1[[#This Row],[Sale_Amount]]-Table1[[#This Row],[Cost]]</f>
        <v>1681.41</v>
      </c>
      <c r="R71" s="1" t="str">
        <f>IF(Table1[[#This Row],[Sale_Amount]]&gt;1800,"YES","NO")</f>
        <v>YES</v>
      </c>
      <c r="S71" s="1" t="str">
        <f>IF(Table1[[#This Row],[ROAS]]&gt;7,"YES","NO")</f>
        <v>YES</v>
      </c>
      <c r="T71" s="1" t="b">
        <f>_xlfn.XOR(Table1[[#This Row],[Sale_Amount]]&gt;1700,Table1[[#This Row],[ROAS]]&gt;7.8)</f>
        <v>0</v>
      </c>
      <c r="U71" s="1"/>
    </row>
    <row r="72" spans="2:21" x14ac:dyDescent="0.3">
      <c r="B72" s="1" t="s">
        <v>99</v>
      </c>
      <c r="C72" s="1">
        <v>122</v>
      </c>
      <c r="D72" s="1">
        <v>4989</v>
      </c>
      <c r="E72" s="2">
        <v>215.48</v>
      </c>
      <c r="F72" s="1">
        <v>12</v>
      </c>
      <c r="G72" s="1">
        <v>5</v>
      </c>
      <c r="H72" s="1">
        <v>4.1000000000000002E-2</v>
      </c>
      <c r="I72" s="3">
        <v>1975</v>
      </c>
      <c r="J72" s="3">
        <f>Table1[[#This Row],[Cost]]/Table1[[#This Row],[Conversions]]</f>
        <v>43.095999999999997</v>
      </c>
      <c r="K72" s="4">
        <v>45602</v>
      </c>
      <c r="L72" s="1" t="s">
        <v>152</v>
      </c>
      <c r="M72" s="1" t="s">
        <v>15</v>
      </c>
      <c r="N72" s="12">
        <f>Table1[[#This Row],[Sale_Amount]]/Table1[[#This Row],[Cost]]</f>
        <v>9.1655838128828666</v>
      </c>
      <c r="O72" s="2">
        <f>Table1[[#This Row],[Cost]]/Table1[[#This Row],[Clicks]]</f>
        <v>1.7662295081967212</v>
      </c>
      <c r="P72" s="2">
        <f>Table1[[#This Row],[Cost]]/Table1[[#This Row],[Conversions]]</f>
        <v>43.095999999999997</v>
      </c>
      <c r="Q72" s="2">
        <f>Table1[[#This Row],[Sale_Amount]]-Table1[[#This Row],[Cost]]</f>
        <v>1759.52</v>
      </c>
      <c r="R72" s="1" t="str">
        <f>IF(Table1[[#This Row],[Sale_Amount]]&gt;1800,"YES","NO")</f>
        <v>YES</v>
      </c>
      <c r="S72" s="1" t="str">
        <f>IF(Table1[[#This Row],[ROAS]]&gt;7,"YES","NO")</f>
        <v>YES</v>
      </c>
      <c r="T72" s="1" t="b">
        <f>_xlfn.XOR(Table1[[#This Row],[Sale_Amount]]&gt;1700,Table1[[#This Row],[ROAS]]&gt;7.8)</f>
        <v>0</v>
      </c>
      <c r="U72" s="1"/>
    </row>
    <row r="73" spans="2:21" x14ac:dyDescent="0.3">
      <c r="B73" s="1" t="s">
        <v>100</v>
      </c>
      <c r="C73" s="1">
        <v>180</v>
      </c>
      <c r="D73" s="1">
        <v>3006</v>
      </c>
      <c r="E73" s="2">
        <v>228.14</v>
      </c>
      <c r="F73" s="1">
        <v>22</v>
      </c>
      <c r="G73" s="1">
        <v>7</v>
      </c>
      <c r="H73" s="1">
        <v>3.9E-2</v>
      </c>
      <c r="I73" s="3">
        <v>1556</v>
      </c>
      <c r="J73" s="3">
        <f>Table1[[#This Row],[Cost]]/Table1[[#This Row],[Conversions]]</f>
        <v>32.591428571428573</v>
      </c>
      <c r="K73" s="4">
        <v>45600</v>
      </c>
      <c r="L73" s="1" t="s">
        <v>152</v>
      </c>
      <c r="M73" s="1" t="s">
        <v>19</v>
      </c>
      <c r="N73" s="12">
        <f>Table1[[#This Row],[Sale_Amount]]/Table1[[#This Row],[Cost]]</f>
        <v>6.8203734548961172</v>
      </c>
      <c r="O73" s="2">
        <f>Table1[[#This Row],[Cost]]/Table1[[#This Row],[Clicks]]</f>
        <v>1.2674444444444444</v>
      </c>
      <c r="P73" s="2">
        <f>Table1[[#This Row],[Cost]]/Table1[[#This Row],[Conversions]]</f>
        <v>32.591428571428573</v>
      </c>
      <c r="Q73" s="2">
        <f>Table1[[#This Row],[Sale_Amount]]-Table1[[#This Row],[Cost]]</f>
        <v>1327.8600000000001</v>
      </c>
      <c r="R73" s="1" t="str">
        <f>IF(Table1[[#This Row],[Sale_Amount]]&gt;1800,"YES","NO")</f>
        <v>NO</v>
      </c>
      <c r="S73" s="1" t="str">
        <f>IF(Table1[[#This Row],[ROAS]]&gt;7,"YES","NO")</f>
        <v>NO</v>
      </c>
      <c r="T73" s="1" t="b">
        <f>_xlfn.XOR(Table1[[#This Row],[Sale_Amount]]&gt;1700,Table1[[#This Row],[ROAS]]&gt;7.8)</f>
        <v>0</v>
      </c>
      <c r="U73" s="1"/>
    </row>
    <row r="74" spans="2:21" x14ac:dyDescent="0.3">
      <c r="B74" s="1" t="s">
        <v>101</v>
      </c>
      <c r="C74" s="1">
        <v>133</v>
      </c>
      <c r="D74" s="1">
        <v>3728</v>
      </c>
      <c r="E74" s="2">
        <v>199.13</v>
      </c>
      <c r="F74" s="1">
        <v>11</v>
      </c>
      <c r="G74" s="1">
        <v>10</v>
      </c>
      <c r="H74" s="1">
        <v>0.11899999999999999</v>
      </c>
      <c r="I74" s="1"/>
      <c r="J74" s="3">
        <f>Table1[[#This Row],[Cost]]/Table1[[#This Row],[Conversions]]</f>
        <v>19.913</v>
      </c>
      <c r="K74" s="4">
        <v>45605</v>
      </c>
      <c r="L74" s="1" t="s">
        <v>152</v>
      </c>
      <c r="M74" s="1" t="s">
        <v>17</v>
      </c>
      <c r="N74" s="12">
        <f>Table1[[#This Row],[Sale_Amount]]/Table1[[#This Row],[Cost]]</f>
        <v>0</v>
      </c>
      <c r="O74" s="2">
        <f>Table1[[#This Row],[Cost]]/Table1[[#This Row],[Clicks]]</f>
        <v>1.4972180451127819</v>
      </c>
      <c r="P74" s="2">
        <f>Table1[[#This Row],[Cost]]/Table1[[#This Row],[Conversions]]</f>
        <v>19.913</v>
      </c>
      <c r="Q74" s="2">
        <f>Table1[[#This Row],[Sale_Amount]]-Table1[[#This Row],[Cost]]</f>
        <v>-199.13</v>
      </c>
      <c r="R74" s="1" t="str">
        <f>IF(Table1[[#This Row],[Sale_Amount]]&gt;1800,"YES","NO")</f>
        <v>NO</v>
      </c>
      <c r="S74" s="1" t="str">
        <f>IF(Table1[[#This Row],[ROAS]]&gt;7,"YES","NO")</f>
        <v>NO</v>
      </c>
      <c r="T74" s="1" t="b">
        <f>_xlfn.XOR(Table1[[#This Row],[Sale_Amount]]&gt;1700,Table1[[#This Row],[ROAS]]&gt;7.8)</f>
        <v>0</v>
      </c>
      <c r="U74" s="1"/>
    </row>
    <row r="75" spans="2:21" x14ac:dyDescent="0.3">
      <c r="B75" s="1" t="s">
        <v>102</v>
      </c>
      <c r="C75" s="1">
        <v>164</v>
      </c>
      <c r="D75" s="1">
        <v>3734</v>
      </c>
      <c r="E75" s="2">
        <v>225.39</v>
      </c>
      <c r="F75" s="1">
        <v>27</v>
      </c>
      <c r="G75" s="1">
        <v>8</v>
      </c>
      <c r="H75" s="1">
        <v>0.04</v>
      </c>
      <c r="I75" s="3">
        <v>1728</v>
      </c>
      <c r="J75" s="3">
        <f>Table1[[#This Row],[Cost]]/Table1[[#This Row],[Conversions]]</f>
        <v>28.173749999999998</v>
      </c>
      <c r="K75" s="4">
        <v>45637</v>
      </c>
      <c r="L75" s="1" t="s">
        <v>152</v>
      </c>
      <c r="M75" s="1" t="s">
        <v>19</v>
      </c>
      <c r="N75" s="12">
        <f>Table1[[#This Row],[Sale_Amount]]/Table1[[#This Row],[Cost]]</f>
        <v>7.6667110342073741</v>
      </c>
      <c r="O75" s="2">
        <f>Table1[[#This Row],[Cost]]/Table1[[#This Row],[Clicks]]</f>
        <v>1.3743292682926829</v>
      </c>
      <c r="P75" s="2">
        <f>Table1[[#This Row],[Cost]]/Table1[[#This Row],[Conversions]]</f>
        <v>28.173749999999998</v>
      </c>
      <c r="Q75" s="2">
        <f>Table1[[#This Row],[Sale_Amount]]-Table1[[#This Row],[Cost]]</f>
        <v>1502.6100000000001</v>
      </c>
      <c r="R75" s="1" t="str">
        <f>IF(Table1[[#This Row],[Sale_Amount]]&gt;1800,"YES","NO")</f>
        <v>NO</v>
      </c>
      <c r="S75" s="1" t="str">
        <f>IF(Table1[[#This Row],[ROAS]]&gt;7,"YES","NO")</f>
        <v>YES</v>
      </c>
      <c r="T75" s="1" t="b">
        <f>_xlfn.XOR(Table1[[#This Row],[Sale_Amount]]&gt;1700,Table1[[#This Row],[ROAS]]&gt;7.8)</f>
        <v>1</v>
      </c>
      <c r="U75" s="1"/>
    </row>
    <row r="76" spans="2:21" x14ac:dyDescent="0.3">
      <c r="B76" s="1" t="s">
        <v>103</v>
      </c>
      <c r="C76" s="1">
        <v>150</v>
      </c>
      <c r="D76" s="1">
        <v>4621</v>
      </c>
      <c r="E76" s="2">
        <v>246.3</v>
      </c>
      <c r="F76" s="1">
        <v>15</v>
      </c>
      <c r="G76" s="1">
        <v>6</v>
      </c>
      <c r="H76" s="1">
        <v>4.9000000000000002E-2</v>
      </c>
      <c r="I76" s="3">
        <v>1554</v>
      </c>
      <c r="J76" s="3">
        <f>Table1[[#This Row],[Cost]]/Table1[[#This Row],[Conversions]]</f>
        <v>41.050000000000004</v>
      </c>
      <c r="K76" s="4">
        <v>45605</v>
      </c>
      <c r="L76" s="1" t="s">
        <v>152</v>
      </c>
      <c r="M76" s="1" t="s">
        <v>17</v>
      </c>
      <c r="N76" s="12">
        <f>Table1[[#This Row],[Sale_Amount]]/Table1[[#This Row],[Cost]]</f>
        <v>6.309378806333739</v>
      </c>
      <c r="O76" s="2">
        <f>Table1[[#This Row],[Cost]]/Table1[[#This Row],[Clicks]]</f>
        <v>1.6420000000000001</v>
      </c>
      <c r="P76" s="2">
        <f>Table1[[#This Row],[Cost]]/Table1[[#This Row],[Conversions]]</f>
        <v>41.050000000000004</v>
      </c>
      <c r="Q76" s="2">
        <f>Table1[[#This Row],[Sale_Amount]]-Table1[[#This Row],[Cost]]</f>
        <v>1307.7</v>
      </c>
      <c r="R76" s="1" t="str">
        <f>IF(Table1[[#This Row],[Sale_Amount]]&gt;1800,"YES","NO")</f>
        <v>NO</v>
      </c>
      <c r="S76" s="1" t="str">
        <f>IF(Table1[[#This Row],[ROAS]]&gt;7,"YES","NO")</f>
        <v>NO</v>
      </c>
      <c r="T76" s="1" t="b">
        <f>_xlfn.XOR(Table1[[#This Row],[Sale_Amount]]&gt;1700,Table1[[#This Row],[ROAS]]&gt;7.8)</f>
        <v>0</v>
      </c>
      <c r="U76" s="1"/>
    </row>
    <row r="77" spans="2:21" x14ac:dyDescent="0.3">
      <c r="B77" s="1" t="s">
        <v>104</v>
      </c>
      <c r="C77" s="1">
        <v>97</v>
      </c>
      <c r="D77" s="1">
        <v>3212</v>
      </c>
      <c r="E77" s="2">
        <v>212.55</v>
      </c>
      <c r="F77" s="1">
        <v>27</v>
      </c>
      <c r="G77" s="1">
        <v>10</v>
      </c>
      <c r="H77" s="1">
        <v>0.10299999999999999</v>
      </c>
      <c r="I77" s="3">
        <v>1994</v>
      </c>
      <c r="J77" s="3">
        <f>Table1[[#This Row],[Cost]]/Table1[[#This Row],[Conversions]]</f>
        <v>21.255000000000003</v>
      </c>
      <c r="K77" s="7" t="s">
        <v>91</v>
      </c>
      <c r="L77" s="1" t="s">
        <v>152</v>
      </c>
      <c r="M77" s="1" t="s">
        <v>12</v>
      </c>
      <c r="N77" s="12">
        <f>Table1[[#This Row],[Sale_Amount]]/Table1[[#This Row],[Cost]]</f>
        <v>9.381322041872501</v>
      </c>
      <c r="O77" s="2">
        <f>Table1[[#This Row],[Cost]]/Table1[[#This Row],[Clicks]]</f>
        <v>2.1912371134020621</v>
      </c>
      <c r="P77" s="2">
        <f>Table1[[#This Row],[Cost]]/Table1[[#This Row],[Conversions]]</f>
        <v>21.255000000000003</v>
      </c>
      <c r="Q77" s="2">
        <f>Table1[[#This Row],[Sale_Amount]]-Table1[[#This Row],[Cost]]</f>
        <v>1781.45</v>
      </c>
      <c r="R77" s="1" t="str">
        <f>IF(Table1[[#This Row],[Sale_Amount]]&gt;1800,"YES","NO")</f>
        <v>YES</v>
      </c>
      <c r="S77" s="1" t="str">
        <f>IF(Table1[[#This Row],[ROAS]]&gt;7,"YES","NO")</f>
        <v>YES</v>
      </c>
      <c r="T77" s="1" t="b">
        <f>_xlfn.XOR(Table1[[#This Row],[Sale_Amount]]&gt;1700,Table1[[#This Row],[ROAS]]&gt;7.8)</f>
        <v>0</v>
      </c>
      <c r="U77" s="1"/>
    </row>
    <row r="78" spans="2:21" x14ac:dyDescent="0.3">
      <c r="B78" s="1" t="s">
        <v>105</v>
      </c>
      <c r="C78" s="1">
        <v>128</v>
      </c>
      <c r="D78" s="1">
        <v>4225</v>
      </c>
      <c r="E78" s="2">
        <v>228.24</v>
      </c>
      <c r="F78" s="1">
        <v>30</v>
      </c>
      <c r="G78" s="1">
        <v>4</v>
      </c>
      <c r="H78" s="1">
        <v>3.1E-2</v>
      </c>
      <c r="I78" s="3">
        <v>1618</v>
      </c>
      <c r="J78" s="3">
        <f>Table1[[#This Row],[Cost]]/Table1[[#This Row],[Conversions]]</f>
        <v>57.06</v>
      </c>
      <c r="K78" s="4">
        <v>45604</v>
      </c>
      <c r="L78" s="1" t="s">
        <v>148</v>
      </c>
      <c r="M78" s="1" t="s">
        <v>15</v>
      </c>
      <c r="N78" s="12">
        <f>Table1[[#This Row],[Sale_Amount]]/Table1[[#This Row],[Cost]]</f>
        <v>7.0890290921836661</v>
      </c>
      <c r="O78" s="2">
        <f>Table1[[#This Row],[Cost]]/Table1[[#This Row],[Clicks]]</f>
        <v>1.7831250000000001</v>
      </c>
      <c r="P78" s="2">
        <f>Table1[[#This Row],[Cost]]/Table1[[#This Row],[Conversions]]</f>
        <v>57.06</v>
      </c>
      <c r="Q78" s="2">
        <f>Table1[[#This Row],[Sale_Amount]]-Table1[[#This Row],[Cost]]</f>
        <v>1389.76</v>
      </c>
      <c r="R78" s="1" t="str">
        <f>IF(Table1[[#This Row],[Sale_Amount]]&gt;1800,"YES","NO")</f>
        <v>NO</v>
      </c>
      <c r="S78" s="1" t="str">
        <f>IF(Table1[[#This Row],[ROAS]]&gt;7,"YES","NO")</f>
        <v>YES</v>
      </c>
      <c r="T78" s="1" t="b">
        <f>_xlfn.XOR(Table1[[#This Row],[Sale_Amount]]&gt;1700,Table1[[#This Row],[ROAS]]&gt;7.8)</f>
        <v>0</v>
      </c>
      <c r="U78" s="1"/>
    </row>
    <row r="79" spans="2:21" x14ac:dyDescent="0.3">
      <c r="B79" s="1" t="s">
        <v>106</v>
      </c>
      <c r="C79" s="1">
        <v>99</v>
      </c>
      <c r="D79" s="1">
        <v>4779</v>
      </c>
      <c r="E79" s="2">
        <v>233.78</v>
      </c>
      <c r="F79" s="1">
        <v>26</v>
      </c>
      <c r="G79" s="1">
        <v>10</v>
      </c>
      <c r="H79" s="1">
        <v>0.10100000000000001</v>
      </c>
      <c r="I79" s="3">
        <v>1086</v>
      </c>
      <c r="J79" s="3">
        <f>Table1[[#This Row],[Cost]]/Table1[[#This Row],[Conversions]]</f>
        <v>23.378</v>
      </c>
      <c r="K79" s="4">
        <v>45601</v>
      </c>
      <c r="L79" s="1" t="s">
        <v>148</v>
      </c>
      <c r="M79" s="1" t="s">
        <v>12</v>
      </c>
      <c r="N79" s="12">
        <f>Table1[[#This Row],[Sale_Amount]]/Table1[[#This Row],[Cost]]</f>
        <v>4.6453931046282833</v>
      </c>
      <c r="O79" s="2">
        <f>Table1[[#This Row],[Cost]]/Table1[[#This Row],[Clicks]]</f>
        <v>2.3614141414141416</v>
      </c>
      <c r="P79" s="2">
        <f>Table1[[#This Row],[Cost]]/Table1[[#This Row],[Conversions]]</f>
        <v>23.378</v>
      </c>
      <c r="Q79" s="2">
        <f>Table1[[#This Row],[Sale_Amount]]-Table1[[#This Row],[Cost]]</f>
        <v>852.22</v>
      </c>
      <c r="R79" s="1" t="str">
        <f>IF(Table1[[#This Row],[Sale_Amount]]&gt;1800,"YES","NO")</f>
        <v>NO</v>
      </c>
      <c r="S79" s="1" t="str">
        <f>IF(Table1[[#This Row],[ROAS]]&gt;7,"YES","NO")</f>
        <v>NO</v>
      </c>
      <c r="T79" s="1" t="b">
        <f>_xlfn.XOR(Table1[[#This Row],[Sale_Amount]]&gt;1700,Table1[[#This Row],[ROAS]]&gt;7.8)</f>
        <v>0</v>
      </c>
      <c r="U79" s="1"/>
    </row>
    <row r="80" spans="2:21" x14ac:dyDescent="0.3">
      <c r="B80" s="1" t="s">
        <v>107</v>
      </c>
      <c r="C80" s="1">
        <v>86</v>
      </c>
      <c r="D80" s="1">
        <v>5352</v>
      </c>
      <c r="E80" s="2">
        <v>234.05</v>
      </c>
      <c r="F80" s="1">
        <v>11</v>
      </c>
      <c r="G80" s="1">
        <v>5</v>
      </c>
      <c r="H80" s="1">
        <v>5.8000000000000003E-2</v>
      </c>
      <c r="I80" s="3">
        <v>1364</v>
      </c>
      <c r="J80" s="3">
        <f>Table1[[#This Row],[Cost]]/Table1[[#This Row],[Conversions]]</f>
        <v>46.81</v>
      </c>
      <c r="K80" s="4">
        <v>45605</v>
      </c>
      <c r="L80" s="1" t="s">
        <v>148</v>
      </c>
      <c r="M80" s="1" t="s">
        <v>19</v>
      </c>
      <c r="N80" s="12">
        <f>Table1[[#This Row],[Sale_Amount]]/Table1[[#This Row],[Cost]]</f>
        <v>5.8278145695364234</v>
      </c>
      <c r="O80" s="2">
        <f>Table1[[#This Row],[Cost]]/Table1[[#This Row],[Clicks]]</f>
        <v>2.7215116279069771</v>
      </c>
      <c r="P80" s="2">
        <f>Table1[[#This Row],[Cost]]/Table1[[#This Row],[Conversions]]</f>
        <v>46.81</v>
      </c>
      <c r="Q80" s="2">
        <f>Table1[[#This Row],[Sale_Amount]]-Table1[[#This Row],[Cost]]</f>
        <v>1129.95</v>
      </c>
      <c r="R80" s="1" t="str">
        <f>IF(Table1[[#This Row],[Sale_Amount]]&gt;1800,"YES","NO")</f>
        <v>NO</v>
      </c>
      <c r="S80" s="1" t="str">
        <f>IF(Table1[[#This Row],[ROAS]]&gt;7,"YES","NO")</f>
        <v>NO</v>
      </c>
      <c r="T80" s="1" t="b">
        <f>_xlfn.XOR(Table1[[#This Row],[Sale_Amount]]&gt;1700,Table1[[#This Row],[ROAS]]&gt;7.8)</f>
        <v>0</v>
      </c>
      <c r="U80" s="1"/>
    </row>
    <row r="81" spans="2:21" x14ac:dyDescent="0.3">
      <c r="B81" s="1" t="s">
        <v>108</v>
      </c>
      <c r="C81" s="1">
        <v>118</v>
      </c>
      <c r="D81" s="1">
        <v>5405</v>
      </c>
      <c r="E81" s="2">
        <v>187.28</v>
      </c>
      <c r="F81" s="1">
        <v>25</v>
      </c>
      <c r="G81" s="1">
        <v>7</v>
      </c>
      <c r="H81" s="1">
        <v>5.8000000000000003E-2</v>
      </c>
      <c r="I81" s="3">
        <v>1836</v>
      </c>
      <c r="J81" s="3">
        <f>Table1[[#This Row],[Cost]]/Table1[[#This Row],[Conversions]]</f>
        <v>26.754285714285714</v>
      </c>
      <c r="K81" s="4">
        <v>45601</v>
      </c>
      <c r="L81" s="1" t="s">
        <v>148</v>
      </c>
      <c r="M81" s="1" t="s">
        <v>19</v>
      </c>
      <c r="N81" s="12">
        <f>Table1[[#This Row],[Sale_Amount]]/Table1[[#This Row],[Cost]]</f>
        <v>9.8035027765912002</v>
      </c>
      <c r="O81" s="2">
        <f>Table1[[#This Row],[Cost]]/Table1[[#This Row],[Clicks]]</f>
        <v>1.5871186440677967</v>
      </c>
      <c r="P81" s="2">
        <f>Table1[[#This Row],[Cost]]/Table1[[#This Row],[Conversions]]</f>
        <v>26.754285714285714</v>
      </c>
      <c r="Q81" s="2">
        <f>Table1[[#This Row],[Sale_Amount]]-Table1[[#This Row],[Cost]]</f>
        <v>1648.72</v>
      </c>
      <c r="R81" s="1" t="str">
        <f>IF(Table1[[#This Row],[Sale_Amount]]&gt;1800,"YES","NO")</f>
        <v>YES</v>
      </c>
      <c r="S81" s="1" t="str">
        <f>IF(Table1[[#This Row],[ROAS]]&gt;7,"YES","NO")</f>
        <v>YES</v>
      </c>
      <c r="T81" s="1" t="b">
        <f>_xlfn.XOR(Table1[[#This Row],[Sale_Amount]]&gt;1700,Table1[[#This Row],[ROAS]]&gt;7.8)</f>
        <v>0</v>
      </c>
      <c r="U81" s="1"/>
    </row>
    <row r="82" spans="2:21" x14ac:dyDescent="0.3">
      <c r="B82" s="1" t="s">
        <v>109</v>
      </c>
      <c r="C82" s="1">
        <v>127</v>
      </c>
      <c r="D82" s="1">
        <v>5430</v>
      </c>
      <c r="E82" s="2">
        <v>199.13</v>
      </c>
      <c r="F82" s="1">
        <v>14</v>
      </c>
      <c r="G82" s="1">
        <v>6</v>
      </c>
      <c r="H82" s="1">
        <v>4.7E-2</v>
      </c>
      <c r="I82" s="3">
        <v>1932</v>
      </c>
      <c r="J82" s="3">
        <f>Table1[[#This Row],[Cost]]/Table1[[#This Row],[Conversions]]</f>
        <v>33.188333333333333</v>
      </c>
      <c r="K82" s="4">
        <v>45621</v>
      </c>
      <c r="L82" s="1" t="s">
        <v>148</v>
      </c>
      <c r="M82" s="1" t="s">
        <v>28</v>
      </c>
      <c r="N82" s="12">
        <f>Table1[[#This Row],[Sale_Amount]]/Table1[[#This Row],[Cost]]</f>
        <v>9.7022045899663532</v>
      </c>
      <c r="O82" s="2">
        <f>Table1[[#This Row],[Cost]]/Table1[[#This Row],[Clicks]]</f>
        <v>1.5679527559055118</v>
      </c>
      <c r="P82" s="2">
        <f>Table1[[#This Row],[Cost]]/Table1[[#This Row],[Conversions]]</f>
        <v>33.188333333333333</v>
      </c>
      <c r="Q82" s="2">
        <f>Table1[[#This Row],[Sale_Amount]]-Table1[[#This Row],[Cost]]</f>
        <v>1732.87</v>
      </c>
      <c r="R82" s="1" t="str">
        <f>IF(Table1[[#This Row],[Sale_Amount]]&gt;1800,"YES","NO")</f>
        <v>YES</v>
      </c>
      <c r="S82" s="1" t="str">
        <f>IF(Table1[[#This Row],[ROAS]]&gt;7,"YES","NO")</f>
        <v>YES</v>
      </c>
      <c r="T82" s="1" t="b">
        <f>_xlfn.XOR(Table1[[#This Row],[Sale_Amount]]&gt;1700,Table1[[#This Row],[ROAS]]&gt;7.8)</f>
        <v>0</v>
      </c>
      <c r="U82" s="1"/>
    </row>
    <row r="83" spans="2:21" x14ac:dyDescent="0.3">
      <c r="B83" s="1" t="s">
        <v>110</v>
      </c>
      <c r="C83" s="1">
        <v>83</v>
      </c>
      <c r="D83" s="1">
        <v>4808</v>
      </c>
      <c r="E83" s="2">
        <v>241.35</v>
      </c>
      <c r="F83" s="1">
        <v>20</v>
      </c>
      <c r="G83" s="1">
        <v>7</v>
      </c>
      <c r="H83" s="1">
        <v>8.4000000000000005E-2</v>
      </c>
      <c r="I83" s="3">
        <v>1038</v>
      </c>
      <c r="J83" s="3">
        <f>Table1[[#This Row],[Cost]]/Table1[[#This Row],[Conversions]]</f>
        <v>34.478571428571428</v>
      </c>
      <c r="K83" s="7" t="s">
        <v>44</v>
      </c>
      <c r="L83" s="1" t="s">
        <v>148</v>
      </c>
      <c r="M83" s="1" t="s">
        <v>15</v>
      </c>
      <c r="N83" s="12">
        <f>Table1[[#This Row],[Sale_Amount]]/Table1[[#This Row],[Cost]]</f>
        <v>4.3008079552517096</v>
      </c>
      <c r="O83" s="2">
        <f>Table1[[#This Row],[Cost]]/Table1[[#This Row],[Clicks]]</f>
        <v>2.9078313253012049</v>
      </c>
      <c r="P83" s="2">
        <f>Table1[[#This Row],[Cost]]/Table1[[#This Row],[Conversions]]</f>
        <v>34.478571428571428</v>
      </c>
      <c r="Q83" s="2">
        <f>Table1[[#This Row],[Sale_Amount]]-Table1[[#This Row],[Cost]]</f>
        <v>796.65</v>
      </c>
      <c r="R83" s="1" t="str">
        <f>IF(Table1[[#This Row],[Sale_Amount]]&gt;1800,"YES","NO")</f>
        <v>NO</v>
      </c>
      <c r="S83" s="1" t="str">
        <f>IF(Table1[[#This Row],[ROAS]]&gt;7,"YES","NO")</f>
        <v>NO</v>
      </c>
      <c r="T83" s="1" t="b">
        <f>_xlfn.XOR(Table1[[#This Row],[Sale_Amount]]&gt;1700,Table1[[#This Row],[ROAS]]&gt;7.8)</f>
        <v>0</v>
      </c>
      <c r="U83" s="1"/>
    </row>
    <row r="84" spans="2:21" x14ac:dyDescent="0.3">
      <c r="B84" s="1" t="s">
        <v>111</v>
      </c>
      <c r="C84" s="1">
        <v>149</v>
      </c>
      <c r="D84" s="1">
        <v>3587</v>
      </c>
      <c r="E84" s="2">
        <v>217.53</v>
      </c>
      <c r="F84" s="1">
        <v>23</v>
      </c>
      <c r="G84" s="1">
        <v>8</v>
      </c>
      <c r="H84" s="1">
        <v>0.11899999999999999</v>
      </c>
      <c r="I84" s="1"/>
      <c r="J84" s="3">
        <f>Table1[[#This Row],[Cost]]/Table1[[#This Row],[Conversions]]</f>
        <v>27.19125</v>
      </c>
      <c r="K84" s="7" t="s">
        <v>112</v>
      </c>
      <c r="L84" s="1" t="s">
        <v>148</v>
      </c>
      <c r="M84" s="1" t="s">
        <v>28</v>
      </c>
      <c r="N84" s="12">
        <f>Table1[[#This Row],[Sale_Amount]]/Table1[[#This Row],[Cost]]</f>
        <v>0</v>
      </c>
      <c r="O84" s="2">
        <f>Table1[[#This Row],[Cost]]/Table1[[#This Row],[Clicks]]</f>
        <v>1.4599328859060403</v>
      </c>
      <c r="P84" s="2">
        <f>Table1[[#This Row],[Cost]]/Table1[[#This Row],[Conversions]]</f>
        <v>27.19125</v>
      </c>
      <c r="Q84" s="2">
        <f>Table1[[#This Row],[Sale_Amount]]-Table1[[#This Row],[Cost]]</f>
        <v>-217.53</v>
      </c>
      <c r="R84" s="1" t="str">
        <f>IF(Table1[[#This Row],[Sale_Amount]]&gt;1800,"YES","NO")</f>
        <v>NO</v>
      </c>
      <c r="S84" s="1" t="str">
        <f>IF(Table1[[#This Row],[ROAS]]&gt;7,"YES","NO")</f>
        <v>NO</v>
      </c>
      <c r="T84" s="1" t="b">
        <f>_xlfn.XOR(Table1[[#This Row],[Sale_Amount]]&gt;1700,Table1[[#This Row],[ROAS]]&gt;7.8)</f>
        <v>0</v>
      </c>
      <c r="U84" s="1"/>
    </row>
    <row r="85" spans="2:21" x14ac:dyDescent="0.3">
      <c r="B85" s="1" t="s">
        <v>113</v>
      </c>
      <c r="C85" s="1">
        <v>168</v>
      </c>
      <c r="D85" s="1">
        <v>4683</v>
      </c>
      <c r="E85" s="2">
        <v>215.28</v>
      </c>
      <c r="F85" s="1">
        <v>30</v>
      </c>
      <c r="G85" s="1">
        <v>8</v>
      </c>
      <c r="H85" s="1">
        <v>4.8000000000000001E-2</v>
      </c>
      <c r="I85" s="3">
        <v>1327</v>
      </c>
      <c r="J85" s="3">
        <f>Table1[[#This Row],[Cost]]/Table1[[#This Row],[Conversions]]</f>
        <v>26.91</v>
      </c>
      <c r="K85" s="4">
        <v>45624</v>
      </c>
      <c r="L85" s="1" t="s">
        <v>148</v>
      </c>
      <c r="M85" s="1" t="s">
        <v>28</v>
      </c>
      <c r="N85" s="12">
        <f>Table1[[#This Row],[Sale_Amount]]/Table1[[#This Row],[Cost]]</f>
        <v>6.1640654031958375</v>
      </c>
      <c r="O85" s="2">
        <f>Table1[[#This Row],[Cost]]/Table1[[#This Row],[Clicks]]</f>
        <v>1.2814285714285714</v>
      </c>
      <c r="P85" s="2">
        <f>Table1[[#This Row],[Cost]]/Table1[[#This Row],[Conversions]]</f>
        <v>26.91</v>
      </c>
      <c r="Q85" s="2">
        <f>Table1[[#This Row],[Sale_Amount]]-Table1[[#This Row],[Cost]]</f>
        <v>1111.72</v>
      </c>
      <c r="R85" s="1" t="str">
        <f>IF(Table1[[#This Row],[Sale_Amount]]&gt;1800,"YES","NO")</f>
        <v>NO</v>
      </c>
      <c r="S85" s="1" t="str">
        <f>IF(Table1[[#This Row],[ROAS]]&gt;7,"YES","NO")</f>
        <v>NO</v>
      </c>
      <c r="T85" s="1" t="b">
        <f>_xlfn.XOR(Table1[[#This Row],[Sale_Amount]]&gt;1700,Table1[[#This Row],[ROAS]]&gt;7.8)</f>
        <v>0</v>
      </c>
      <c r="U85" s="1"/>
    </row>
    <row r="86" spans="2:21" x14ac:dyDescent="0.3">
      <c r="B86" s="1" t="s">
        <v>114</v>
      </c>
      <c r="C86" s="1">
        <v>112</v>
      </c>
      <c r="D86" s="1">
        <v>5814</v>
      </c>
      <c r="E86" s="2">
        <v>227.38</v>
      </c>
      <c r="F86" s="1">
        <v>11</v>
      </c>
      <c r="G86" s="1">
        <v>8</v>
      </c>
      <c r="H86" s="1">
        <v>7.0999999999999994E-2</v>
      </c>
      <c r="I86" s="3">
        <v>1467</v>
      </c>
      <c r="J86" s="3">
        <f>Table1[[#This Row],[Cost]]/Table1[[#This Row],[Conversions]]</f>
        <v>28.422499999999999</v>
      </c>
      <c r="K86" s="4">
        <v>45599</v>
      </c>
      <c r="L86" s="1" t="s">
        <v>148</v>
      </c>
      <c r="M86" s="1" t="s">
        <v>26</v>
      </c>
      <c r="N86" s="12">
        <f>Table1[[#This Row],[Sale_Amount]]/Table1[[#This Row],[Cost]]</f>
        <v>6.4517547717477353</v>
      </c>
      <c r="O86" s="2">
        <f>Table1[[#This Row],[Cost]]/Table1[[#This Row],[Clicks]]</f>
        <v>2.0301785714285714</v>
      </c>
      <c r="P86" s="2">
        <f>Table1[[#This Row],[Cost]]/Table1[[#This Row],[Conversions]]</f>
        <v>28.422499999999999</v>
      </c>
      <c r="Q86" s="2">
        <f>Table1[[#This Row],[Sale_Amount]]-Table1[[#This Row],[Cost]]</f>
        <v>1239.6199999999999</v>
      </c>
      <c r="R86" s="1" t="str">
        <f>IF(Table1[[#This Row],[Sale_Amount]]&gt;1800,"YES","NO")</f>
        <v>NO</v>
      </c>
      <c r="S86" s="1" t="str">
        <f>IF(Table1[[#This Row],[ROAS]]&gt;7,"YES","NO")</f>
        <v>NO</v>
      </c>
      <c r="T86" s="1" t="b">
        <f>_xlfn.XOR(Table1[[#This Row],[Sale_Amount]]&gt;1700,Table1[[#This Row],[ROAS]]&gt;7.8)</f>
        <v>0</v>
      </c>
      <c r="U86" s="1"/>
    </row>
    <row r="87" spans="2:21" x14ac:dyDescent="0.3">
      <c r="B87" s="1" t="s">
        <v>115</v>
      </c>
      <c r="C87" s="1">
        <v>123</v>
      </c>
      <c r="D87" s="1">
        <v>3292</v>
      </c>
      <c r="E87" s="2">
        <v>233.2</v>
      </c>
      <c r="F87" s="1">
        <v>28</v>
      </c>
      <c r="G87" s="1">
        <v>6</v>
      </c>
      <c r="H87" s="1">
        <v>4.9000000000000002E-2</v>
      </c>
      <c r="I87" s="3">
        <v>1174</v>
      </c>
      <c r="J87" s="3">
        <f>Table1[[#This Row],[Cost]]/Table1[[#This Row],[Conversions]]</f>
        <v>38.866666666666667</v>
      </c>
      <c r="K87" s="4">
        <v>45615</v>
      </c>
      <c r="L87" s="1" t="s">
        <v>148</v>
      </c>
      <c r="M87" s="1" t="s">
        <v>17</v>
      </c>
      <c r="N87" s="12">
        <f>Table1[[#This Row],[Sale_Amount]]/Table1[[#This Row],[Cost]]</f>
        <v>5.0343053173241854</v>
      </c>
      <c r="O87" s="2">
        <f>Table1[[#This Row],[Cost]]/Table1[[#This Row],[Clicks]]</f>
        <v>1.8959349593495933</v>
      </c>
      <c r="P87" s="2">
        <f>Table1[[#This Row],[Cost]]/Table1[[#This Row],[Conversions]]</f>
        <v>38.866666666666667</v>
      </c>
      <c r="Q87" s="2">
        <f>Table1[[#This Row],[Sale_Amount]]-Table1[[#This Row],[Cost]]</f>
        <v>940.8</v>
      </c>
      <c r="R87" s="1" t="str">
        <f>IF(Table1[[#This Row],[Sale_Amount]]&gt;1800,"YES","NO")</f>
        <v>NO</v>
      </c>
      <c r="S87" s="1" t="str">
        <f>IF(Table1[[#This Row],[ROAS]]&gt;7,"YES","NO")</f>
        <v>NO</v>
      </c>
      <c r="T87" s="1" t="b">
        <f>_xlfn.XOR(Table1[[#This Row],[Sale_Amount]]&gt;1700,Table1[[#This Row],[ROAS]]&gt;7.8)</f>
        <v>0</v>
      </c>
      <c r="U87" s="1"/>
    </row>
    <row r="88" spans="2:21" x14ac:dyDescent="0.3">
      <c r="B88" s="1" t="s">
        <v>116</v>
      </c>
      <c r="C88" s="1">
        <v>174</v>
      </c>
      <c r="D88" s="1">
        <v>4305</v>
      </c>
      <c r="E88" s="2">
        <v>206.02</v>
      </c>
      <c r="F88" s="1">
        <v>20</v>
      </c>
      <c r="G88" s="1">
        <v>3</v>
      </c>
      <c r="H88" s="1">
        <v>3.4000000000000002E-2</v>
      </c>
      <c r="I88" s="3">
        <v>1057</v>
      </c>
      <c r="J88" s="3">
        <f>Table1[[#This Row],[Cost]]/Table1[[#This Row],[Conversions]]</f>
        <v>68.673333333333332</v>
      </c>
      <c r="K88" s="4">
        <v>45619</v>
      </c>
      <c r="L88" s="1" t="s">
        <v>148</v>
      </c>
      <c r="M88" s="1" t="s">
        <v>12</v>
      </c>
      <c r="N88" s="12">
        <f>Table1[[#This Row],[Sale_Amount]]/Table1[[#This Row],[Cost]]</f>
        <v>5.1305698475876129</v>
      </c>
      <c r="O88" s="2">
        <f>Table1[[#This Row],[Cost]]/Table1[[#This Row],[Clicks]]</f>
        <v>1.1840229885057472</v>
      </c>
      <c r="P88" s="2">
        <f>Table1[[#This Row],[Cost]]/Table1[[#This Row],[Conversions]]</f>
        <v>68.673333333333332</v>
      </c>
      <c r="Q88" s="2">
        <f>Table1[[#This Row],[Sale_Amount]]-Table1[[#This Row],[Cost]]</f>
        <v>850.98</v>
      </c>
      <c r="R88" s="1" t="str">
        <f>IF(Table1[[#This Row],[Sale_Amount]]&gt;1800,"YES","NO")</f>
        <v>NO</v>
      </c>
      <c r="S88" s="1" t="str">
        <f>IF(Table1[[#This Row],[ROAS]]&gt;7,"YES","NO")</f>
        <v>NO</v>
      </c>
      <c r="T88" s="1" t="b">
        <f>_xlfn.XOR(Table1[[#This Row],[Sale_Amount]]&gt;1700,Table1[[#This Row],[ROAS]]&gt;7.8)</f>
        <v>0</v>
      </c>
      <c r="U88" s="1"/>
    </row>
    <row r="89" spans="2:21" x14ac:dyDescent="0.3">
      <c r="B89" s="1" t="s">
        <v>117</v>
      </c>
      <c r="C89" s="1">
        <v>143</v>
      </c>
      <c r="D89" s="1">
        <v>4368</v>
      </c>
      <c r="E89" s="5">
        <v>210</v>
      </c>
      <c r="F89" s="1">
        <v>27</v>
      </c>
      <c r="G89" s="1">
        <v>7</v>
      </c>
      <c r="H89" s="1">
        <v>4.9000000000000002E-2</v>
      </c>
      <c r="I89" s="3">
        <v>1199</v>
      </c>
      <c r="J89" s="3">
        <f>Table1[[#This Row],[Cost]]/Table1[[#This Row],[Conversions]]</f>
        <v>30</v>
      </c>
      <c r="K89" s="4">
        <v>45362</v>
      </c>
      <c r="L89" s="1" t="s">
        <v>145</v>
      </c>
      <c r="M89" s="1" t="s">
        <v>19</v>
      </c>
      <c r="N89" s="12">
        <f>Table1[[#This Row],[Sale_Amount]]/Table1[[#This Row],[Cost]]</f>
        <v>5.7095238095238097</v>
      </c>
      <c r="O89" s="2">
        <f>Table1[[#This Row],[Cost]]/Table1[[#This Row],[Clicks]]</f>
        <v>1.4685314685314685</v>
      </c>
      <c r="P89" s="2">
        <f>Table1[[#This Row],[Cost]]/Table1[[#This Row],[Conversions]]</f>
        <v>30</v>
      </c>
      <c r="Q89" s="2">
        <f>Table1[[#This Row],[Sale_Amount]]-Table1[[#This Row],[Cost]]</f>
        <v>989</v>
      </c>
      <c r="R89" s="1" t="str">
        <f>IF(Table1[[#This Row],[Sale_Amount]]&gt;1800,"YES","NO")</f>
        <v>NO</v>
      </c>
      <c r="S89" s="1" t="str">
        <f>IF(Table1[[#This Row],[ROAS]]&gt;7,"YES","NO")</f>
        <v>NO</v>
      </c>
      <c r="T89" s="1" t="b">
        <f>_xlfn.XOR(Table1[[#This Row],[Sale_Amount]]&gt;1700,Table1[[#This Row],[ROAS]]&gt;7.8)</f>
        <v>0</v>
      </c>
      <c r="U89" s="1"/>
    </row>
    <row r="90" spans="2:21" x14ac:dyDescent="0.3">
      <c r="B90" s="1" t="s">
        <v>118</v>
      </c>
      <c r="C90" s="1">
        <v>195</v>
      </c>
      <c r="D90" s="1">
        <v>5935</v>
      </c>
      <c r="E90" s="2">
        <v>209.68</v>
      </c>
      <c r="F90" s="1">
        <v>23</v>
      </c>
      <c r="G90" s="1">
        <v>9</v>
      </c>
      <c r="H90" s="1">
        <v>4.5999999999999999E-2</v>
      </c>
      <c r="I90" s="3">
        <v>1966</v>
      </c>
      <c r="J90" s="3">
        <f>Table1[[#This Row],[Cost]]/Table1[[#This Row],[Conversions]]</f>
        <v>23.297777777777778</v>
      </c>
      <c r="K90" s="4">
        <v>45603</v>
      </c>
      <c r="L90" s="1" t="s">
        <v>145</v>
      </c>
      <c r="M90" s="1" t="s">
        <v>19</v>
      </c>
      <c r="N90" s="12">
        <f>Table1[[#This Row],[Sale_Amount]]/Table1[[#This Row],[Cost]]</f>
        <v>9.3761922930179313</v>
      </c>
      <c r="O90" s="2">
        <f>Table1[[#This Row],[Cost]]/Table1[[#This Row],[Clicks]]</f>
        <v>1.0752820512820513</v>
      </c>
      <c r="P90" s="2">
        <f>Table1[[#This Row],[Cost]]/Table1[[#This Row],[Conversions]]</f>
        <v>23.297777777777778</v>
      </c>
      <c r="Q90" s="2">
        <f>Table1[[#This Row],[Sale_Amount]]-Table1[[#This Row],[Cost]]</f>
        <v>1756.32</v>
      </c>
      <c r="R90" s="1" t="str">
        <f>IF(Table1[[#This Row],[Sale_Amount]]&gt;1800,"YES","NO")</f>
        <v>YES</v>
      </c>
      <c r="S90" s="1" t="str">
        <f>IF(Table1[[#This Row],[ROAS]]&gt;7,"YES","NO")</f>
        <v>YES</v>
      </c>
      <c r="T90" s="1" t="b">
        <f>_xlfn.XOR(Table1[[#This Row],[Sale_Amount]]&gt;1700,Table1[[#This Row],[ROAS]]&gt;7.8)</f>
        <v>0</v>
      </c>
      <c r="U90" s="1"/>
    </row>
    <row r="91" spans="2:21" x14ac:dyDescent="0.3">
      <c r="B91" s="1" t="s">
        <v>119</v>
      </c>
      <c r="C91" s="1">
        <v>176</v>
      </c>
      <c r="D91" s="1">
        <v>5847</v>
      </c>
      <c r="E91" s="2">
        <v>241.04</v>
      </c>
      <c r="F91" s="1">
        <v>13</v>
      </c>
      <c r="G91" s="1">
        <v>6</v>
      </c>
      <c r="H91" s="1">
        <v>3.4000000000000002E-2</v>
      </c>
      <c r="I91" s="3">
        <v>1194</v>
      </c>
      <c r="J91" s="3">
        <f>Table1[[#This Row],[Cost]]/Table1[[#This Row],[Conversions]]</f>
        <v>40.173333333333332</v>
      </c>
      <c r="K91" s="4">
        <v>45598</v>
      </c>
      <c r="L91" s="1" t="s">
        <v>145</v>
      </c>
      <c r="M91" s="1" t="s">
        <v>12</v>
      </c>
      <c r="N91" s="12">
        <f>Table1[[#This Row],[Sale_Amount]]/Table1[[#This Row],[Cost]]</f>
        <v>4.9535346830401599</v>
      </c>
      <c r="O91" s="2">
        <f>Table1[[#This Row],[Cost]]/Table1[[#This Row],[Clicks]]</f>
        <v>1.3695454545454544</v>
      </c>
      <c r="P91" s="2">
        <f>Table1[[#This Row],[Cost]]/Table1[[#This Row],[Conversions]]</f>
        <v>40.173333333333332</v>
      </c>
      <c r="Q91" s="2">
        <f>Table1[[#This Row],[Sale_Amount]]-Table1[[#This Row],[Cost]]</f>
        <v>952.96</v>
      </c>
      <c r="R91" s="1" t="str">
        <f>IF(Table1[[#This Row],[Sale_Amount]]&gt;1800,"YES","NO")</f>
        <v>NO</v>
      </c>
      <c r="S91" s="1" t="str">
        <f>IF(Table1[[#This Row],[ROAS]]&gt;7,"YES","NO")</f>
        <v>NO</v>
      </c>
      <c r="T91" s="1" t="b">
        <f>_xlfn.XOR(Table1[[#This Row],[Sale_Amount]]&gt;1700,Table1[[#This Row],[ROAS]]&gt;7.8)</f>
        <v>0</v>
      </c>
      <c r="U91" s="1"/>
    </row>
    <row r="92" spans="2:21" x14ac:dyDescent="0.3">
      <c r="B92" s="1" t="s">
        <v>120</v>
      </c>
      <c r="C92" s="1">
        <v>141</v>
      </c>
      <c r="D92" s="1">
        <v>4851</v>
      </c>
      <c r="E92" s="2">
        <v>227.39</v>
      </c>
      <c r="F92" s="1">
        <v>28</v>
      </c>
      <c r="G92" s="1">
        <v>5</v>
      </c>
      <c r="H92" s="1">
        <v>0.11899999999999999</v>
      </c>
      <c r="I92" s="3">
        <v>1821</v>
      </c>
      <c r="J92" s="3">
        <f>Table1[[#This Row],[Cost]]/Table1[[#This Row],[Conversions]]</f>
        <v>45.477999999999994</v>
      </c>
      <c r="K92" s="4">
        <v>45611</v>
      </c>
      <c r="L92" s="1" t="s">
        <v>145</v>
      </c>
      <c r="M92" s="1" t="s">
        <v>12</v>
      </c>
      <c r="N92" s="12">
        <f>Table1[[#This Row],[Sale_Amount]]/Table1[[#This Row],[Cost]]</f>
        <v>8.0082677338493351</v>
      </c>
      <c r="O92" s="2">
        <f>Table1[[#This Row],[Cost]]/Table1[[#This Row],[Clicks]]</f>
        <v>1.6126950354609928</v>
      </c>
      <c r="P92" s="2">
        <f>Table1[[#This Row],[Cost]]/Table1[[#This Row],[Conversions]]</f>
        <v>45.477999999999994</v>
      </c>
      <c r="Q92" s="2">
        <f>Table1[[#This Row],[Sale_Amount]]-Table1[[#This Row],[Cost]]</f>
        <v>1593.6100000000001</v>
      </c>
      <c r="R92" s="1" t="str">
        <f>IF(Table1[[#This Row],[Sale_Amount]]&gt;1800,"YES","NO")</f>
        <v>YES</v>
      </c>
      <c r="S92" s="1" t="str">
        <f>IF(Table1[[#This Row],[ROAS]]&gt;7,"YES","NO")</f>
        <v>YES</v>
      </c>
      <c r="T92" s="1" t="b">
        <f>_xlfn.XOR(Table1[[#This Row],[Sale_Amount]]&gt;1700,Table1[[#This Row],[ROAS]]&gt;7.8)</f>
        <v>0</v>
      </c>
      <c r="U92" s="1"/>
    </row>
    <row r="93" spans="2:21" x14ac:dyDescent="0.3">
      <c r="B93" s="1" t="s">
        <v>121</v>
      </c>
      <c r="C93" s="1">
        <v>108</v>
      </c>
      <c r="D93" s="1">
        <v>4710</v>
      </c>
      <c r="E93" s="2">
        <v>204.16</v>
      </c>
      <c r="F93" s="1">
        <v>19</v>
      </c>
      <c r="G93" s="1">
        <v>10</v>
      </c>
      <c r="H93" s="1">
        <v>9.2999999999999999E-2</v>
      </c>
      <c r="I93" s="3">
        <v>1731</v>
      </c>
      <c r="J93" s="3">
        <f>Table1[[#This Row],[Cost]]/Table1[[#This Row],[Conversions]]</f>
        <v>20.416</v>
      </c>
      <c r="K93" s="4">
        <v>45616</v>
      </c>
      <c r="L93" s="1" t="s">
        <v>145</v>
      </c>
      <c r="M93" s="1" t="s">
        <v>19</v>
      </c>
      <c r="N93" s="12">
        <f>Table1[[#This Row],[Sale_Amount]]/Table1[[#This Row],[Cost]]</f>
        <v>8.4786442006269596</v>
      </c>
      <c r="O93" s="2">
        <f>Table1[[#This Row],[Cost]]/Table1[[#This Row],[Clicks]]</f>
        <v>1.8903703703703703</v>
      </c>
      <c r="P93" s="2">
        <f>Table1[[#This Row],[Cost]]/Table1[[#This Row],[Conversions]]</f>
        <v>20.416</v>
      </c>
      <c r="Q93" s="2">
        <f>Table1[[#This Row],[Sale_Amount]]-Table1[[#This Row],[Cost]]</f>
        <v>1526.84</v>
      </c>
      <c r="R93" s="1" t="str">
        <f>IF(Table1[[#This Row],[Sale_Amount]]&gt;1800,"YES","NO")</f>
        <v>NO</v>
      </c>
      <c r="S93" s="1" t="str">
        <f>IF(Table1[[#This Row],[ROAS]]&gt;7,"YES","NO")</f>
        <v>YES</v>
      </c>
      <c r="T93" s="1" t="b">
        <f>_xlfn.XOR(Table1[[#This Row],[Sale_Amount]]&gt;1700,Table1[[#This Row],[ROAS]]&gt;7.8)</f>
        <v>0</v>
      </c>
      <c r="U93" s="1"/>
    </row>
    <row r="94" spans="2:21" x14ac:dyDescent="0.3">
      <c r="B94" s="1" t="s">
        <v>122</v>
      </c>
      <c r="C94" s="1">
        <v>112</v>
      </c>
      <c r="D94" s="1">
        <v>3345</v>
      </c>
      <c r="E94" s="5">
        <v>160</v>
      </c>
      <c r="F94" s="1">
        <v>11</v>
      </c>
      <c r="G94" s="1">
        <v>6</v>
      </c>
      <c r="H94" s="1">
        <v>4.7E-2</v>
      </c>
      <c r="I94" s="3">
        <v>1859</v>
      </c>
      <c r="J94" s="3">
        <f>Table1[[#This Row],[Cost]]/Table1[[#This Row],[Conversions]]</f>
        <v>26.666666666666668</v>
      </c>
      <c r="K94" s="4">
        <v>45619</v>
      </c>
      <c r="L94" s="1" t="s">
        <v>145</v>
      </c>
      <c r="M94" s="1" t="s">
        <v>19</v>
      </c>
      <c r="N94" s="12">
        <f>Table1[[#This Row],[Sale_Amount]]/Table1[[#This Row],[Cost]]</f>
        <v>11.61875</v>
      </c>
      <c r="O94" s="2">
        <f>Table1[[#This Row],[Cost]]/Table1[[#This Row],[Clicks]]</f>
        <v>1.4285714285714286</v>
      </c>
      <c r="P94" s="2">
        <f>Table1[[#This Row],[Cost]]/Table1[[#This Row],[Conversions]]</f>
        <v>26.666666666666668</v>
      </c>
      <c r="Q94" s="2">
        <f>Table1[[#This Row],[Sale_Amount]]-Table1[[#This Row],[Cost]]</f>
        <v>1699</v>
      </c>
      <c r="R94" s="1" t="str">
        <f>IF(Table1[[#This Row],[Sale_Amount]]&gt;1800,"YES","NO")</f>
        <v>YES</v>
      </c>
      <c r="S94" s="1" t="str">
        <f>IF(Table1[[#This Row],[ROAS]]&gt;7,"YES","NO")</f>
        <v>YES</v>
      </c>
      <c r="T94" s="1" t="b">
        <f>_xlfn.XOR(Table1[[#This Row],[Sale_Amount]]&gt;1700,Table1[[#This Row],[ROAS]]&gt;7.8)</f>
        <v>0</v>
      </c>
      <c r="U94" s="1"/>
    </row>
    <row r="95" spans="2:21" x14ac:dyDescent="0.3">
      <c r="B95" s="1" t="s">
        <v>123</v>
      </c>
      <c r="C95" s="1">
        <v>96</v>
      </c>
      <c r="D95" s="1">
        <v>5903</v>
      </c>
      <c r="E95" s="2">
        <v>184.41</v>
      </c>
      <c r="F95" s="1">
        <v>23</v>
      </c>
      <c r="G95" s="1">
        <v>9</v>
      </c>
      <c r="H95" s="1">
        <v>7.0999999999999994E-2</v>
      </c>
      <c r="I95" s="3">
        <v>1188</v>
      </c>
      <c r="J95" s="3">
        <f>Table1[[#This Row],[Cost]]/Table1[[#This Row],[Conversions]]</f>
        <v>20.49</v>
      </c>
      <c r="K95" s="6" t="s">
        <v>14</v>
      </c>
      <c r="L95" s="1" t="s">
        <v>145</v>
      </c>
      <c r="M95" s="1" t="s">
        <v>19</v>
      </c>
      <c r="N95" s="12">
        <f>Table1[[#This Row],[Sale_Amount]]/Table1[[#This Row],[Cost]]</f>
        <v>6.4421669106881403</v>
      </c>
      <c r="O95" s="2">
        <f>Table1[[#This Row],[Cost]]/Table1[[#This Row],[Clicks]]</f>
        <v>1.9209375</v>
      </c>
      <c r="P95" s="2">
        <f>Table1[[#This Row],[Cost]]/Table1[[#This Row],[Conversions]]</f>
        <v>20.49</v>
      </c>
      <c r="Q95" s="2">
        <f>Table1[[#This Row],[Sale_Amount]]-Table1[[#This Row],[Cost]]</f>
        <v>1003.59</v>
      </c>
      <c r="R95" s="1" t="str">
        <f>IF(Table1[[#This Row],[Sale_Amount]]&gt;1800,"YES","NO")</f>
        <v>NO</v>
      </c>
      <c r="S95" s="1" t="str">
        <f>IF(Table1[[#This Row],[ROAS]]&gt;7,"YES","NO")</f>
        <v>NO</v>
      </c>
      <c r="T95" s="1" t="b">
        <f>_xlfn.XOR(Table1[[#This Row],[Sale_Amount]]&gt;1700,Table1[[#This Row],[ROAS]]&gt;7.8)</f>
        <v>0</v>
      </c>
      <c r="U95" s="1"/>
    </row>
    <row r="96" spans="2:21" x14ac:dyDescent="0.3">
      <c r="B96" s="1" t="s">
        <v>124</v>
      </c>
      <c r="C96" s="1">
        <v>145</v>
      </c>
      <c r="D96" s="1">
        <v>5004</v>
      </c>
      <c r="E96" s="2">
        <v>216.45</v>
      </c>
      <c r="F96" s="1">
        <v>22</v>
      </c>
      <c r="G96" s="1">
        <v>5</v>
      </c>
      <c r="H96" s="1">
        <v>3.4000000000000002E-2</v>
      </c>
      <c r="I96" s="3">
        <v>1496</v>
      </c>
      <c r="J96" s="3">
        <f>Table1[[#This Row],[Cost]]/Table1[[#This Row],[Conversions]]</f>
        <v>43.29</v>
      </c>
      <c r="K96" s="4">
        <v>45597</v>
      </c>
      <c r="L96" s="1" t="s">
        <v>145</v>
      </c>
      <c r="M96" s="1" t="s">
        <v>19</v>
      </c>
      <c r="N96" s="12">
        <f>Table1[[#This Row],[Sale_Amount]]/Table1[[#This Row],[Cost]]</f>
        <v>6.911526911526912</v>
      </c>
      <c r="O96" s="2">
        <f>Table1[[#This Row],[Cost]]/Table1[[#This Row],[Clicks]]</f>
        <v>1.492758620689655</v>
      </c>
      <c r="P96" s="2">
        <f>Table1[[#This Row],[Cost]]/Table1[[#This Row],[Conversions]]</f>
        <v>43.29</v>
      </c>
      <c r="Q96" s="2">
        <f>Table1[[#This Row],[Sale_Amount]]-Table1[[#This Row],[Cost]]</f>
        <v>1279.55</v>
      </c>
      <c r="R96" s="1" t="str">
        <f>IF(Table1[[#This Row],[Sale_Amount]]&gt;1800,"YES","NO")</f>
        <v>NO</v>
      </c>
      <c r="S96" s="1" t="str">
        <f>IF(Table1[[#This Row],[ROAS]]&gt;7,"YES","NO")</f>
        <v>NO</v>
      </c>
      <c r="T96" s="1" t="b">
        <f>_xlfn.XOR(Table1[[#This Row],[Sale_Amount]]&gt;1700,Table1[[#This Row],[ROAS]]&gt;7.8)</f>
        <v>0</v>
      </c>
      <c r="U96" s="1"/>
    </row>
    <row r="97" spans="2:21" x14ac:dyDescent="0.3">
      <c r="B97" s="1" t="s">
        <v>125</v>
      </c>
      <c r="C97" s="1">
        <v>183</v>
      </c>
      <c r="D97" s="1">
        <v>3947</v>
      </c>
      <c r="E97" s="2">
        <v>197.3</v>
      </c>
      <c r="F97" s="1">
        <v>15</v>
      </c>
      <c r="G97" s="1">
        <v>8</v>
      </c>
      <c r="H97" s="1">
        <v>4.3999999999999997E-2</v>
      </c>
      <c r="I97" s="3">
        <v>1645</v>
      </c>
      <c r="J97" s="3">
        <f>Table1[[#This Row],[Cost]]/Table1[[#This Row],[Conversions]]</f>
        <v>24.662500000000001</v>
      </c>
      <c r="K97" s="4">
        <v>45610</v>
      </c>
      <c r="L97" s="1" t="s">
        <v>145</v>
      </c>
      <c r="M97" s="1" t="s">
        <v>17</v>
      </c>
      <c r="N97" s="12">
        <f>Table1[[#This Row],[Sale_Amount]]/Table1[[#This Row],[Cost]]</f>
        <v>8.3375570197668516</v>
      </c>
      <c r="O97" s="2">
        <f>Table1[[#This Row],[Cost]]/Table1[[#This Row],[Clicks]]</f>
        <v>1.0781420765027323</v>
      </c>
      <c r="P97" s="2">
        <f>Table1[[#This Row],[Cost]]/Table1[[#This Row],[Conversions]]</f>
        <v>24.662500000000001</v>
      </c>
      <c r="Q97" s="2">
        <f>Table1[[#This Row],[Sale_Amount]]-Table1[[#This Row],[Cost]]</f>
        <v>1447.7</v>
      </c>
      <c r="R97" s="1" t="str">
        <f>IF(Table1[[#This Row],[Sale_Amount]]&gt;1800,"YES","NO")</f>
        <v>NO</v>
      </c>
      <c r="S97" s="1" t="str">
        <f>IF(Table1[[#This Row],[ROAS]]&gt;7,"YES","NO")</f>
        <v>YES</v>
      </c>
      <c r="T97" s="1" t="b">
        <f>_xlfn.XOR(Table1[[#This Row],[Sale_Amount]]&gt;1700,Table1[[#This Row],[ROAS]]&gt;7.8)</f>
        <v>1</v>
      </c>
      <c r="U97" s="1"/>
    </row>
    <row r="98" spans="2:21" x14ac:dyDescent="0.3">
      <c r="B98" s="1" t="s">
        <v>126</v>
      </c>
      <c r="C98" s="1">
        <v>113</v>
      </c>
      <c r="D98" s="1">
        <v>3690</v>
      </c>
      <c r="E98" s="2">
        <v>229.42</v>
      </c>
      <c r="F98" s="1">
        <v>20</v>
      </c>
      <c r="G98" s="1">
        <v>5</v>
      </c>
      <c r="H98" s="1">
        <v>4.3999999999999997E-2</v>
      </c>
      <c r="I98" s="3">
        <v>1915</v>
      </c>
      <c r="J98" s="3">
        <f>Table1[[#This Row],[Cost]]/Table1[[#This Row],[Conversions]]</f>
        <v>45.884</v>
      </c>
      <c r="K98" s="4">
        <v>45624</v>
      </c>
      <c r="L98" s="1" t="s">
        <v>145</v>
      </c>
      <c r="M98" s="1" t="s">
        <v>19</v>
      </c>
      <c r="N98" s="12">
        <f>Table1[[#This Row],[Sale_Amount]]/Table1[[#This Row],[Cost]]</f>
        <v>8.3471362566471985</v>
      </c>
      <c r="O98" s="2">
        <f>Table1[[#This Row],[Cost]]/Table1[[#This Row],[Clicks]]</f>
        <v>2.0302654867256638</v>
      </c>
      <c r="P98" s="2">
        <f>Table1[[#This Row],[Cost]]/Table1[[#This Row],[Conversions]]</f>
        <v>45.884</v>
      </c>
      <c r="Q98" s="2">
        <f>Table1[[#This Row],[Sale_Amount]]-Table1[[#This Row],[Cost]]</f>
        <v>1685.58</v>
      </c>
      <c r="R98" s="1" t="str">
        <f>IF(Table1[[#This Row],[Sale_Amount]]&gt;1800,"YES","NO")</f>
        <v>YES</v>
      </c>
      <c r="S98" s="1" t="str">
        <f>IF(Table1[[#This Row],[ROAS]]&gt;7,"YES","NO")</f>
        <v>YES</v>
      </c>
      <c r="T98" s="1" t="b">
        <f>_xlfn.XOR(Table1[[#This Row],[Sale_Amount]]&gt;1700,Table1[[#This Row],[ROAS]]&gt;7.8)</f>
        <v>0</v>
      </c>
      <c r="U98" s="1"/>
    </row>
    <row r="99" spans="2:21" x14ac:dyDescent="0.3">
      <c r="B99" s="1" t="s">
        <v>127</v>
      </c>
      <c r="C99" s="1">
        <v>101</v>
      </c>
      <c r="D99" s="1">
        <v>5943</v>
      </c>
      <c r="E99" s="2">
        <v>187.32</v>
      </c>
      <c r="F99" s="1">
        <v>27</v>
      </c>
      <c r="G99" s="1">
        <v>6</v>
      </c>
      <c r="H99" s="1">
        <v>5.8999999999999997E-2</v>
      </c>
      <c r="I99" s="3">
        <v>1614</v>
      </c>
      <c r="J99" s="3">
        <f>Table1[[#This Row],[Cost]]/Table1[[#This Row],[Conversions]]</f>
        <v>31.22</v>
      </c>
      <c r="K99" s="4">
        <v>45611</v>
      </c>
      <c r="L99" s="1" t="s">
        <v>145</v>
      </c>
      <c r="M99" s="1" t="s">
        <v>19</v>
      </c>
      <c r="N99" s="12">
        <f>Table1[[#This Row],[Sale_Amount]]/Table1[[#This Row],[Cost]]</f>
        <v>8.616271620755926</v>
      </c>
      <c r="O99" s="2">
        <f>Table1[[#This Row],[Cost]]/Table1[[#This Row],[Clicks]]</f>
        <v>1.8546534653465345</v>
      </c>
      <c r="P99" s="2">
        <f>Table1[[#This Row],[Cost]]/Table1[[#This Row],[Conversions]]</f>
        <v>31.22</v>
      </c>
      <c r="Q99" s="2">
        <f>Table1[[#This Row],[Sale_Amount]]-Table1[[#This Row],[Cost]]</f>
        <v>1426.68</v>
      </c>
      <c r="R99" s="1" t="str">
        <f>IF(Table1[[#This Row],[Sale_Amount]]&gt;1800,"YES","NO")</f>
        <v>NO</v>
      </c>
      <c r="S99" s="1" t="str">
        <f>IF(Table1[[#This Row],[ROAS]]&gt;7,"YES","NO")</f>
        <v>YES</v>
      </c>
      <c r="T99" s="1" t="b">
        <f>_xlfn.XOR(Table1[[#This Row],[Sale_Amount]]&gt;1700,Table1[[#This Row],[ROAS]]&gt;7.8)</f>
        <v>1</v>
      </c>
      <c r="U99" s="1"/>
    </row>
    <row r="100" spans="2:21" x14ac:dyDescent="0.3">
      <c r="B100" s="1" t="s">
        <v>128</v>
      </c>
      <c r="C100" s="1">
        <v>189</v>
      </c>
      <c r="D100" s="1">
        <v>5357</v>
      </c>
      <c r="E100" s="2">
        <v>222.5</v>
      </c>
      <c r="F100" s="1">
        <v>24</v>
      </c>
      <c r="G100" s="1">
        <v>3</v>
      </c>
      <c r="H100" s="1">
        <v>0.05</v>
      </c>
      <c r="I100" s="3">
        <v>1839</v>
      </c>
      <c r="J100" s="3">
        <f>Table1[[#This Row],[Cost]]/Table1[[#This Row],[Conversions]]</f>
        <v>74.166666666666671</v>
      </c>
      <c r="K100" s="4">
        <v>45621</v>
      </c>
      <c r="L100" s="1" t="s">
        <v>145</v>
      </c>
      <c r="M100" s="1" t="s">
        <v>19</v>
      </c>
      <c r="N100" s="12">
        <f>Table1[[#This Row],[Sale_Amount]]/Table1[[#This Row],[Cost]]</f>
        <v>8.2651685393258418</v>
      </c>
      <c r="O100" s="2">
        <f>Table1[[#This Row],[Cost]]/Table1[[#This Row],[Clicks]]</f>
        <v>1.1772486772486772</v>
      </c>
      <c r="P100" s="2">
        <f>Table1[[#This Row],[Cost]]/Table1[[#This Row],[Conversions]]</f>
        <v>74.166666666666671</v>
      </c>
      <c r="Q100" s="2">
        <f>Table1[[#This Row],[Sale_Amount]]-Table1[[#This Row],[Cost]]</f>
        <v>1616.5</v>
      </c>
      <c r="R100" s="1" t="str">
        <f>IF(Table1[[#This Row],[Sale_Amount]]&gt;1800,"YES","NO")</f>
        <v>YES</v>
      </c>
      <c r="S100" s="1" t="str">
        <f>IF(Table1[[#This Row],[ROAS]]&gt;7,"YES","NO")</f>
        <v>YES</v>
      </c>
      <c r="T100" s="1" t="b">
        <f>_xlfn.XOR(Table1[[#This Row],[Sale_Amount]]&gt;1700,Table1[[#This Row],[ROAS]]&gt;7.8)</f>
        <v>0</v>
      </c>
      <c r="U100" s="1"/>
    </row>
    <row r="101" spans="2:21" x14ac:dyDescent="0.3">
      <c r="B101" s="1"/>
      <c r="C101" s="1"/>
      <c r="D101" s="1"/>
      <c r="E101" s="2"/>
      <c r="F101" s="1"/>
      <c r="G101" s="1"/>
      <c r="H101" s="1"/>
      <c r="I101" s="3"/>
      <c r="J101" s="3"/>
      <c r="K101" s="4"/>
      <c r="L101" s="1"/>
      <c r="M101" s="1"/>
      <c r="N101" s="1"/>
      <c r="O101" s="2"/>
      <c r="P101" s="2"/>
      <c r="Q101" s="2"/>
      <c r="R101" s="1"/>
      <c r="S101" s="1"/>
      <c r="T101" s="1"/>
      <c r="U101" s="1"/>
    </row>
    <row r="102" spans="2:21" x14ac:dyDescent="0.3">
      <c r="T102" s="1"/>
    </row>
  </sheetData>
  <phoneticPr fontId="3" type="noConversion"/>
  <dataValidations count="1">
    <dataValidation type="list" allowBlank="1" showInputMessage="1" showErrorMessage="1" sqref="W2" xr:uid="{85F916A1-4758-4EEE-8771-3BFFBCC4509E}">
      <formula1>$L$2:$L$100</formula1>
    </dataValidation>
  </dataValidations>
  <pageMargins left="0.7" right="0.7" top="0.75" bottom="0.75" header="0.3" footer="0.3"/>
  <pageSetup orientation="portrait" r:id="rId1"/>
  <headerFooter>
    <oddFooter>&amp;C&amp;P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B6D9-4702-4DF7-A5CB-7E99FE706671}">
  <dimension ref="A3:D7"/>
  <sheetViews>
    <sheetView topLeftCell="A4" zoomScaleNormal="100" workbookViewId="0">
      <selection activeCell="B28" sqref="B28:B29"/>
    </sheetView>
  </sheetViews>
  <sheetFormatPr defaultRowHeight="14.4" x14ac:dyDescent="0.3"/>
  <cols>
    <col min="1" max="1" width="12.44140625" bestFit="1" customWidth="1"/>
    <col min="2" max="2" width="11.44140625" bestFit="1" customWidth="1"/>
    <col min="3" max="3" width="18.109375" bestFit="1" customWidth="1"/>
    <col min="4" max="4" width="14.5546875" bestFit="1" customWidth="1"/>
    <col min="5" max="5" width="3.5546875" bestFit="1" customWidth="1"/>
  </cols>
  <sheetData>
    <row r="3" spans="1:4" x14ac:dyDescent="0.3">
      <c r="A3" s="8" t="s">
        <v>137</v>
      </c>
      <c r="B3" t="s">
        <v>139</v>
      </c>
      <c r="C3" t="s">
        <v>140</v>
      </c>
      <c r="D3" t="s">
        <v>141</v>
      </c>
    </row>
    <row r="4" spans="1:4" x14ac:dyDescent="0.3">
      <c r="A4" s="9" t="s">
        <v>12</v>
      </c>
      <c r="B4" s="10">
        <v>7482.6500000000005</v>
      </c>
      <c r="C4" s="10">
        <v>51418</v>
      </c>
      <c r="D4" s="11">
        <v>6.8716297033804867</v>
      </c>
    </row>
    <row r="5" spans="1:4" x14ac:dyDescent="0.3">
      <c r="A5" s="9" t="s">
        <v>15</v>
      </c>
      <c r="B5" s="10">
        <v>6675.4800000000014</v>
      </c>
      <c r="C5" s="10">
        <v>44150</v>
      </c>
      <c r="D5" s="11">
        <v>6.6137566137566122</v>
      </c>
    </row>
    <row r="6" spans="1:4" x14ac:dyDescent="0.3">
      <c r="A6" s="9" t="s">
        <v>19</v>
      </c>
      <c r="B6" s="10">
        <v>6669.94</v>
      </c>
      <c r="C6" s="10">
        <v>50485</v>
      </c>
      <c r="D6" s="11">
        <v>7.5690336045001905</v>
      </c>
    </row>
    <row r="7" spans="1:4" x14ac:dyDescent="0.3">
      <c r="A7" s="9" t="s">
        <v>138</v>
      </c>
      <c r="B7" s="10">
        <v>20828.07</v>
      </c>
      <c r="C7" s="10">
        <v>146053</v>
      </c>
      <c r="D7" s="11">
        <v>7.0123155914110162</v>
      </c>
    </row>
  </sheetData>
  <pageMargins left="0.7" right="0.7" top="0.75" bottom="0.75" header="0.3" footer="0.3"/>
  <pageSetup orientation="portrait" r:id="rId2"/>
  <headerFooter>
    <oddFooter xml:space="preserve">&amp;C2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e9d0da-2f42-465a-a0b0-16f1b0c0c0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9E3FC480C3314C99B96F46FC3FFC96" ma:contentTypeVersion="5" ma:contentTypeDescription="Create a new document." ma:contentTypeScope="" ma:versionID="b51d39e1f1bceb51746fa9fbc0e9995d">
  <xsd:schema xmlns:xsd="http://www.w3.org/2001/XMLSchema" xmlns:xs="http://www.w3.org/2001/XMLSchema" xmlns:p="http://schemas.microsoft.com/office/2006/metadata/properties" xmlns:ns3="8de9d0da-2f42-465a-a0b0-16f1b0c0c015" targetNamespace="http://schemas.microsoft.com/office/2006/metadata/properties" ma:root="true" ma:fieldsID="b689e5deaebd527c21bf957017322adb" ns3:_="">
    <xsd:import namespace="8de9d0da-2f42-465a-a0b0-16f1b0c0c0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9d0da-2f42-465a-a0b0-16f1b0c0c0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8AB1CA-D5A1-4F07-A9AF-A94A6D1D442E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8de9d0da-2f42-465a-a0b0-16f1b0c0c015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96975B-8700-4CE3-9A79-43D994FF0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e9d0da-2f42-465a-a0b0-16f1b0c0c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818979-4775-47F9-BB91-67E7D83543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Data</vt:lpstr>
      <vt:lpstr>Campaign_pivottable1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Moussa Mohammad Khaled</dc:creator>
  <cp:lastModifiedBy>Moussa Mohammad Khaled</cp:lastModifiedBy>
  <dcterms:created xsi:type="dcterms:W3CDTF">2026-07-26T15:03:36Z</dcterms:created>
  <dcterms:modified xsi:type="dcterms:W3CDTF">2026-08-19T01:44:22Z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0x0101004D9E3FC480C3314C99B96F46FC3FFC96</vt:lpwstr>
  </property>
</Properties>
</file>